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timilehinaramide/Documents/MUN/Winter 2026/Busi2720/Assignment 1/"/>
    </mc:Choice>
  </mc:AlternateContent>
  <xr:revisionPtr revIDLastSave="0" documentId="13_ncr:1_{DE1DE311-2BEB-DF40-BF6B-9200CB52F26B}" xr6:coauthVersionLast="47" xr6:coauthVersionMax="47" xr10:uidLastSave="{00000000-0000-0000-0000-000000000000}"/>
  <bookViews>
    <workbookView xWindow="10600" yWindow="760" windowWidth="25060" windowHeight="17020" xr2:uid="{AD8CDCDC-4F0C-9A4C-8B73-0F04F9651703}"/>
  </bookViews>
  <sheets>
    <sheet name="Certification Program" sheetId="1" r:id="rId1"/>
    <sheet name="Masters in Management(MBA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7" i="2" a="1"/>
  <c r="B27" i="2" s="1"/>
  <c r="B25" i="1"/>
  <c r="B26" i="1" s="1"/>
  <c r="B26" i="2"/>
  <c r="I22" i="2"/>
  <c r="J22" i="2" s="1"/>
  <c r="K22" i="2" s="1"/>
  <c r="L22" i="2" s="1"/>
  <c r="H22" i="2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D22" i="1"/>
  <c r="M22" i="2" l="1"/>
  <c r="N22" i="2" s="1"/>
  <c r="O22" i="2" l="1"/>
  <c r="P22" i="2" s="1"/>
  <c r="Q22" i="2" s="1"/>
  <c r="R22" i="2" s="1"/>
  <c r="S22" i="2" s="1"/>
  <c r="T22" i="2" s="1"/>
  <c r="U22" i="2" s="1"/>
  <c r="V22" i="2" s="1"/>
  <c r="W22" i="2" l="1"/>
  <c r="X22" i="2" s="1"/>
  <c r="Y22" i="2" s="1"/>
  <c r="Z22" i="2" s="1"/>
  <c r="AA22" i="2" s="1"/>
  <c r="AC22" i="2" l="1"/>
  <c r="AD22" i="2" s="1"/>
  <c r="AE22" i="2" s="1"/>
  <c r="AF22" i="2" s="1"/>
  <c r="AB2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<sst xmlns="http://schemas.openxmlformats.org/spreadsheetml/2006/main" count="35" uniqueCount="19">
  <si>
    <t>Cost of  option 1:</t>
  </si>
  <si>
    <t>Growth rate of salary differential</t>
  </si>
  <si>
    <t>Initial base pay differential:</t>
  </si>
  <si>
    <t>Age:</t>
  </si>
  <si>
    <t>Years after initial investment:</t>
  </si>
  <si>
    <t>Tuition cash flow:</t>
  </si>
  <si>
    <t>Salary differntial cash flow:</t>
  </si>
  <si>
    <t>PV of salary differential</t>
  </si>
  <si>
    <t>NPV of option 1</t>
  </si>
  <si>
    <t>Current age:</t>
  </si>
  <si>
    <t>Retirement age:</t>
  </si>
  <si>
    <t>Total working years remaining</t>
  </si>
  <si>
    <t>.</t>
  </si>
  <si>
    <t>Discount rate (GIC)</t>
  </si>
  <si>
    <t>Program  length</t>
  </si>
  <si>
    <t>Tuition cost:</t>
  </si>
  <si>
    <t xml:space="preserve"> 1 year</t>
  </si>
  <si>
    <t xml:space="preserve"> 5 years</t>
  </si>
  <si>
    <t>PV of option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</si>
</sst>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10" fontId="0" fillId="2" borderId="1" xfId="0" applyNumberFormat="1" applyFill="1" applyBorder="1"/>
    <xf numFmtId="6" fontId="0" fillId="2" borderId="1" xfId="0" applyNumberFormat="1" applyFill="1" applyBorder="1"/>
    <xf numFmtId="3" fontId="0" fillId="2" borderId="1" xfId="0" applyNumberFormat="1" applyFill="1" applyBorder="1"/>
    <xf numFmtId="8" fontId="0" fillId="2" borderId="1" xfId="0" applyNumberFormat="1" applyFill="1" applyBorder="1"/>
    <xf numFmtId="0" fontId="0" fillId="3" borderId="1" xfId="0" applyFill="1" applyBorder="1"/>
    <xf numFmtId="10" fontId="0" fillId="3" borderId="1" xfId="0" applyNumberFormat="1" applyFill="1" applyBorder="1"/>
    <xf numFmtId="6" fontId="0" fillId="3" borderId="1" xfId="0" applyNumberFormat="1" applyFill="1" applyBorder="1"/>
    <xf numFmtId="3" fontId="0" fillId="3" borderId="1" xfId="0" applyNumberFormat="1" applyFill="1" applyBorder="1"/>
    <xf numFmtId="8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3B5C-D210-B845-A1C4-91ECE7B25103}">
  <dimension ref="A1:AF31"/>
  <sheetViews>
    <sheetView tabSelected="1" workbookViewId="0">
      <selection activeCell="D35" sqref="D35"/>
    </sheetView>
  </sheetViews>
  <sheetFormatPr baseColWidth="10" defaultRowHeight="16" x14ac:dyDescent="0.2"/>
  <cols>
    <col min="1" max="1" width="28.33203125" customWidth="1"/>
    <col min="2" max="2" width="17.6640625" customWidth="1"/>
    <col min="3" max="3" width="19.5" customWidth="1"/>
  </cols>
  <sheetData>
    <row r="1" spans="1:32" x14ac:dyDescent="0.2">
      <c r="A1" t="s">
        <v>9</v>
      </c>
      <c r="B1" s="1">
        <v>32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t="s">
        <v>10</v>
      </c>
      <c r="B2" s="1">
        <v>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 t="s">
        <v>11</v>
      </c>
      <c r="B3" s="1">
        <v>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">
      <c r="B6" s="2" t="s">
        <v>12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">
      <c r="A11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">
      <c r="A12" t="s">
        <v>14</v>
      </c>
      <c r="B12" s="1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">
      <c r="A13" t="s">
        <v>15</v>
      </c>
      <c r="B13" s="3">
        <v>12500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">
      <c r="A14" t="s">
        <v>2</v>
      </c>
      <c r="B14" s="3">
        <v>17500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">
      <c r="A15" t="s">
        <v>1</v>
      </c>
      <c r="B15" s="2">
        <v>2.4E-2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">
      <c r="A16" t="s">
        <v>13</v>
      </c>
      <c r="B16" s="2">
        <v>3.7499999999999999E-2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">
      <c r="A19" t="s">
        <v>3</v>
      </c>
      <c r="B19" s="1">
        <v>32</v>
      </c>
      <c r="C19" s="1">
        <v>33</v>
      </c>
      <c r="D19" s="1">
        <v>34</v>
      </c>
      <c r="E19" s="1">
        <v>35</v>
      </c>
      <c r="F19" s="1">
        <v>36</v>
      </c>
      <c r="G19" s="1">
        <v>37</v>
      </c>
      <c r="H19" s="1">
        <v>38</v>
      </c>
      <c r="I19" s="1">
        <v>39</v>
      </c>
      <c r="J19" s="1">
        <v>40</v>
      </c>
      <c r="K19" s="1">
        <v>41</v>
      </c>
      <c r="L19" s="1">
        <v>42</v>
      </c>
      <c r="M19" s="1">
        <v>43</v>
      </c>
      <c r="N19" s="1">
        <v>44</v>
      </c>
      <c r="O19" s="1">
        <v>45</v>
      </c>
      <c r="P19" s="1">
        <v>46</v>
      </c>
      <c r="Q19" s="1">
        <v>47</v>
      </c>
      <c r="R19" s="1">
        <v>48</v>
      </c>
      <c r="S19" s="1">
        <v>49</v>
      </c>
      <c r="T19" s="1">
        <v>50</v>
      </c>
      <c r="U19" s="1">
        <v>51</v>
      </c>
      <c r="V19" s="1">
        <v>52</v>
      </c>
      <c r="W19" s="1">
        <v>53</v>
      </c>
      <c r="X19" s="1">
        <v>54</v>
      </c>
      <c r="Y19" s="1">
        <v>55</v>
      </c>
      <c r="Z19" s="1">
        <v>56</v>
      </c>
      <c r="AA19" s="1">
        <v>57</v>
      </c>
      <c r="AB19" s="1">
        <v>58</v>
      </c>
      <c r="AC19" s="1">
        <v>59</v>
      </c>
      <c r="AD19" s="1">
        <v>60</v>
      </c>
      <c r="AE19" s="1">
        <v>61</v>
      </c>
      <c r="AF19" s="1">
        <v>62</v>
      </c>
    </row>
    <row r="20" spans="1:32" x14ac:dyDescent="0.2">
      <c r="A20" t="s">
        <v>4</v>
      </c>
      <c r="B20" s="1">
        <v>0</v>
      </c>
      <c r="C20" s="1">
        <v>1</v>
      </c>
      <c r="D20" s="1">
        <v>2</v>
      </c>
      <c r="E20" s="1">
        <v>3</v>
      </c>
      <c r="F20" s="1">
        <v>4</v>
      </c>
      <c r="G20" s="1">
        <v>5</v>
      </c>
      <c r="H20" s="1">
        <v>6</v>
      </c>
      <c r="I20" s="1">
        <v>7</v>
      </c>
      <c r="J20" s="1">
        <v>8</v>
      </c>
      <c r="K20" s="1">
        <v>9</v>
      </c>
      <c r="L20" s="1">
        <v>10</v>
      </c>
      <c r="M20" s="1">
        <v>11</v>
      </c>
      <c r="N20" s="1">
        <v>12</v>
      </c>
      <c r="O20" s="1">
        <v>13</v>
      </c>
      <c r="P20" s="1">
        <v>14</v>
      </c>
      <c r="Q20" s="1">
        <v>15</v>
      </c>
      <c r="R20" s="1">
        <v>16</v>
      </c>
      <c r="S20" s="1">
        <v>17</v>
      </c>
      <c r="T20" s="1">
        <v>18</v>
      </c>
      <c r="U20" s="1">
        <v>19</v>
      </c>
      <c r="V20" s="1">
        <v>20</v>
      </c>
      <c r="W20" s="1">
        <v>21</v>
      </c>
      <c r="X20" s="1">
        <v>22</v>
      </c>
      <c r="Y20" s="1">
        <v>23</v>
      </c>
      <c r="Z20" s="1">
        <v>24</v>
      </c>
      <c r="AA20" s="1">
        <v>25</v>
      </c>
      <c r="AB20" s="1">
        <v>26</v>
      </c>
      <c r="AC20" s="1">
        <v>27</v>
      </c>
      <c r="AD20" s="1">
        <v>28</v>
      </c>
      <c r="AE20" s="1">
        <v>29</v>
      </c>
      <c r="AF20" s="1">
        <v>30</v>
      </c>
    </row>
    <row r="21" spans="1:32" x14ac:dyDescent="0.2">
      <c r="A21" t="s">
        <v>5</v>
      </c>
      <c r="B21" s="4">
        <v>-12500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2">
      <c r="A22" t="s">
        <v>6</v>
      </c>
      <c r="B22" s="5">
        <v>0</v>
      </c>
      <c r="C22" s="5">
        <v>0</v>
      </c>
      <c r="D22" s="5">
        <f>$B$14*(1  + $B$15)^(D$20 -2)</f>
        <v>17500</v>
      </c>
      <c r="E22" s="5">
        <f t="shared" ref="E22:AF22" si="0">$B$14*(1  + $B$15)^(E$20 -2)</f>
        <v>17920</v>
      </c>
      <c r="F22" s="5">
        <f t="shared" si="0"/>
        <v>18350.079999999998</v>
      </c>
      <c r="G22" s="5">
        <f t="shared" si="0"/>
        <v>18790.481920000002</v>
      </c>
      <c r="H22" s="5">
        <f t="shared" si="0"/>
        <v>19241.453486080001</v>
      </c>
      <c r="I22" s="5">
        <f t="shared" si="0"/>
        <v>19703.248369745921</v>
      </c>
      <c r="J22" s="5">
        <f t="shared" si="0"/>
        <v>20176.12633061982</v>
      </c>
      <c r="K22" s="5">
        <f t="shared" si="0"/>
        <v>20660.353362554699</v>
      </c>
      <c r="L22" s="5">
        <f t="shared" si="0"/>
        <v>21156.201843256011</v>
      </c>
      <c r="M22" s="5">
        <f t="shared" si="0"/>
        <v>21663.950687494151</v>
      </c>
      <c r="N22" s="5">
        <f t="shared" si="0"/>
        <v>22183.885503994014</v>
      </c>
      <c r="O22" s="5">
        <f t="shared" si="0"/>
        <v>22716.298756089873</v>
      </c>
      <c r="P22" s="5">
        <f t="shared" si="0"/>
        <v>23261.489926236027</v>
      </c>
      <c r="Q22" s="5">
        <f t="shared" si="0"/>
        <v>23819.765684465692</v>
      </c>
      <c r="R22" s="5">
        <f t="shared" si="0"/>
        <v>24391.440060892866</v>
      </c>
      <c r="S22" s="5">
        <f t="shared" si="0"/>
        <v>24976.834622354298</v>
      </c>
      <c r="T22" s="5">
        <f t="shared" si="0"/>
        <v>25576.278653290796</v>
      </c>
      <c r="U22" s="5">
        <f t="shared" si="0"/>
        <v>26190.109340969775</v>
      </c>
      <c r="V22" s="5">
        <f t="shared" si="0"/>
        <v>26818.671965153047</v>
      </c>
      <c r="W22" s="5">
        <f t="shared" si="0"/>
        <v>27462.320092316728</v>
      </c>
      <c r="X22" s="5">
        <f t="shared" si="0"/>
        <v>28121.415774532325</v>
      </c>
      <c r="Y22" s="5">
        <f t="shared" si="0"/>
        <v>28796.329753121103</v>
      </c>
      <c r="Z22" s="5">
        <f t="shared" si="0"/>
        <v>29487.441667196003</v>
      </c>
      <c r="AA22" s="5">
        <f t="shared" si="0"/>
        <v>30195.140267208717</v>
      </c>
      <c r="AB22" s="5">
        <f t="shared" si="0"/>
        <v>30919.823633621716</v>
      </c>
      <c r="AC22" s="5">
        <f t="shared" si="0"/>
        <v>31661.899400828639</v>
      </c>
      <c r="AD22" s="5">
        <f t="shared" si="0"/>
        <v>32421.784986448525</v>
      </c>
      <c r="AE22" s="5">
        <f t="shared" si="0"/>
        <v>33199.907826123293</v>
      </c>
      <c r="AF22" s="5">
        <f t="shared" si="0"/>
        <v>33996.705613950253</v>
      </c>
    </row>
    <row r="23" spans="1:32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">
      <c r="A25" t="s">
        <v>7</v>
      </c>
      <c r="B25" s="5">
        <f>NPV($B$16, $C22:AF22)</f>
        <v>394848.17028499715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">
      <c r="A26" t="s">
        <v>8</v>
      </c>
      <c r="B26" s="5">
        <f>B25 - B13</f>
        <v>382348.17028499715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059A-0A87-7C44-983E-A14924AEFF0D}">
  <dimension ref="A1:AF30"/>
  <sheetViews>
    <sheetView workbookViewId="0">
      <selection activeCell="C35" sqref="C35"/>
    </sheetView>
  </sheetViews>
  <sheetFormatPr baseColWidth="10" defaultRowHeight="16" x14ac:dyDescent="0.2"/>
  <cols>
    <col min="1" max="1" width="28.33203125" customWidth="1"/>
    <col min="2" max="2" width="17.6640625" customWidth="1"/>
    <col min="3" max="3" width="19.5" customWidth="1"/>
    <col min="4" max="4" width="28.33203125" customWidth="1"/>
  </cols>
  <sheetData>
    <row r="1" spans="1:32" x14ac:dyDescent="0.2">
      <c r="A1" t="s">
        <v>9</v>
      </c>
      <c r="B1" s="6">
        <v>32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2">
      <c r="A2" t="s">
        <v>10</v>
      </c>
      <c r="B2" s="6">
        <v>62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x14ac:dyDescent="0.2">
      <c r="A3" t="s">
        <v>11</v>
      </c>
      <c r="B3" s="6">
        <v>30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2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2">
      <c r="B6" s="7" t="s">
        <v>12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2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2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2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2">
      <c r="A11" t="s">
        <v>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2">
      <c r="A12" t="s">
        <v>14</v>
      </c>
      <c r="B12" s="6" t="s">
        <v>17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">
      <c r="A13" t="s">
        <v>15</v>
      </c>
      <c r="B13" s="8">
        <v>55000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2">
      <c r="A14" t="s">
        <v>2</v>
      </c>
      <c r="B14" s="8">
        <v>30000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2">
      <c r="A15" t="s">
        <v>1</v>
      </c>
      <c r="B15" s="7">
        <v>2.3E-2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2">
      <c r="A16" t="s">
        <v>13</v>
      </c>
      <c r="B16" s="7">
        <v>3.7499999999999999E-2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">
      <c r="A19" t="s">
        <v>3</v>
      </c>
      <c r="B19" s="6">
        <v>32</v>
      </c>
      <c r="C19" s="6">
        <v>33</v>
      </c>
      <c r="D19" s="6">
        <v>34</v>
      </c>
      <c r="E19" s="6">
        <v>35</v>
      </c>
      <c r="F19" s="6">
        <v>36</v>
      </c>
      <c r="G19" s="6">
        <v>37</v>
      </c>
      <c r="H19" s="6">
        <v>38</v>
      </c>
      <c r="I19" s="6">
        <v>39</v>
      </c>
      <c r="J19" s="6">
        <v>40</v>
      </c>
      <c r="K19" s="6">
        <v>41</v>
      </c>
      <c r="L19" s="6">
        <v>42</v>
      </c>
      <c r="M19" s="6">
        <v>43</v>
      </c>
      <c r="N19" s="6">
        <v>44</v>
      </c>
      <c r="O19" s="6">
        <v>45</v>
      </c>
      <c r="P19" s="6">
        <v>46</v>
      </c>
      <c r="Q19" s="6">
        <v>47</v>
      </c>
      <c r="R19" s="6">
        <v>48</v>
      </c>
      <c r="S19" s="6">
        <v>49</v>
      </c>
      <c r="T19" s="6">
        <v>50</v>
      </c>
      <c r="U19" s="6">
        <v>51</v>
      </c>
      <c r="V19" s="6">
        <v>52</v>
      </c>
      <c r="W19" s="6">
        <v>53</v>
      </c>
      <c r="X19" s="6">
        <v>54</v>
      </c>
      <c r="Y19" s="6">
        <v>55</v>
      </c>
      <c r="Z19" s="6">
        <v>56</v>
      </c>
      <c r="AA19" s="6">
        <v>57</v>
      </c>
      <c r="AB19" s="6">
        <v>58</v>
      </c>
      <c r="AC19" s="6">
        <v>59</v>
      </c>
      <c r="AD19" s="6">
        <v>60</v>
      </c>
      <c r="AE19" s="6">
        <v>61</v>
      </c>
      <c r="AF19" s="6">
        <v>62</v>
      </c>
    </row>
    <row r="20" spans="1:32" x14ac:dyDescent="0.2">
      <c r="A20" t="s">
        <v>4</v>
      </c>
      <c r="B20" s="6">
        <v>0</v>
      </c>
      <c r="C20" s="6">
        <v>1</v>
      </c>
      <c r="D20" s="6">
        <v>2</v>
      </c>
      <c r="E20" s="6">
        <v>3</v>
      </c>
      <c r="F20" s="6">
        <v>4</v>
      </c>
      <c r="G20" s="6">
        <v>5</v>
      </c>
      <c r="H20" s="6">
        <v>6</v>
      </c>
      <c r="I20" s="6">
        <v>7</v>
      </c>
      <c r="J20" s="6">
        <v>8</v>
      </c>
      <c r="K20" s="6">
        <v>9</v>
      </c>
      <c r="L20" s="6">
        <v>10</v>
      </c>
      <c r="M20" s="6">
        <v>11</v>
      </c>
      <c r="N20" s="6">
        <v>12</v>
      </c>
      <c r="O20" s="6">
        <v>13</v>
      </c>
      <c r="P20" s="6">
        <v>14</v>
      </c>
      <c r="Q20" s="6">
        <v>15</v>
      </c>
      <c r="R20" s="6">
        <v>16</v>
      </c>
      <c r="S20" s="6">
        <v>17</v>
      </c>
      <c r="T20" s="6">
        <v>18</v>
      </c>
      <c r="U20" s="6">
        <v>19</v>
      </c>
      <c r="V20" s="6">
        <v>20</v>
      </c>
      <c r="W20" s="6">
        <v>21</v>
      </c>
      <c r="X20" s="6">
        <v>22</v>
      </c>
      <c r="Y20" s="6">
        <v>23</v>
      </c>
      <c r="Z20" s="6">
        <v>24</v>
      </c>
      <c r="AA20" s="6">
        <v>25</v>
      </c>
      <c r="AB20" s="6">
        <v>26</v>
      </c>
      <c r="AC20" s="6">
        <v>27</v>
      </c>
      <c r="AD20" s="6">
        <v>28</v>
      </c>
      <c r="AE20" s="6">
        <v>29</v>
      </c>
      <c r="AF20" s="6">
        <v>30</v>
      </c>
    </row>
    <row r="21" spans="1:32" x14ac:dyDescent="0.2">
      <c r="A21" t="s">
        <v>5</v>
      </c>
      <c r="B21" s="9">
        <v>-55000</v>
      </c>
      <c r="C21" s="9">
        <v>-55000</v>
      </c>
      <c r="D21" s="9">
        <v>-55000</v>
      </c>
      <c r="E21" s="9">
        <v>-55000</v>
      </c>
      <c r="F21" s="9">
        <v>-55000</v>
      </c>
      <c r="G21" s="6">
        <v>0</v>
      </c>
      <c r="H21" s="6">
        <v>0</v>
      </c>
      <c r="I21" s="6">
        <v>0</v>
      </c>
      <c r="J21" s="6"/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</row>
    <row r="22" spans="1:32" x14ac:dyDescent="0.2">
      <c r="A22" t="s">
        <v>6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f>$B$14</f>
        <v>30000</v>
      </c>
      <c r="I22" s="10">
        <f>$B$14*(1+$B$15)</f>
        <v>30689.999999999996</v>
      </c>
      <c r="J22" s="10">
        <f>I22 *(1 + $B$15)</f>
        <v>31395.869999999992</v>
      </c>
      <c r="K22" s="10">
        <f t="shared" ref="K22:AF22" si="0">J22 *(1 + $B$15)</f>
        <v>32117.975009999987</v>
      </c>
      <c r="L22" s="10">
        <f t="shared" si="0"/>
        <v>32856.688435229982</v>
      </c>
      <c r="M22" s="10">
        <f t="shared" si="0"/>
        <v>33612.39226924027</v>
      </c>
      <c r="N22" s="10">
        <f t="shared" si="0"/>
        <v>34385.477291432791</v>
      </c>
      <c r="O22" s="10">
        <f t="shared" si="0"/>
        <v>35176.343269135745</v>
      </c>
      <c r="P22" s="10">
        <f t="shared" si="0"/>
        <v>35985.399164325863</v>
      </c>
      <c r="Q22" s="10">
        <f t="shared" si="0"/>
        <v>36813.063345105358</v>
      </c>
      <c r="R22" s="10">
        <f t="shared" si="0"/>
        <v>37659.763802042777</v>
      </c>
      <c r="S22" s="10">
        <f t="shared" si="0"/>
        <v>38525.938369489755</v>
      </c>
      <c r="T22" s="10">
        <f t="shared" si="0"/>
        <v>39412.034951988018</v>
      </c>
      <c r="U22" s="10">
        <f t="shared" si="0"/>
        <v>40318.511755883737</v>
      </c>
      <c r="V22" s="10">
        <f t="shared" si="0"/>
        <v>41245.837526269061</v>
      </c>
      <c r="W22" s="10">
        <f t="shared" si="0"/>
        <v>42194.491789373242</v>
      </c>
      <c r="X22" s="10">
        <f t="shared" si="0"/>
        <v>43164.965100528825</v>
      </c>
      <c r="Y22" s="10">
        <f t="shared" si="0"/>
        <v>44157.759297840981</v>
      </c>
      <c r="Z22" s="10">
        <f t="shared" si="0"/>
        <v>45173.387761691323</v>
      </c>
      <c r="AA22" s="10">
        <f t="shared" si="0"/>
        <v>46212.375680210222</v>
      </c>
      <c r="AB22" s="10">
        <f t="shared" si="0"/>
        <v>47275.26032085505</v>
      </c>
      <c r="AC22" s="10">
        <f t="shared" si="0"/>
        <v>48362.591308234711</v>
      </c>
      <c r="AD22" s="10">
        <f t="shared" si="0"/>
        <v>49474.930908324102</v>
      </c>
      <c r="AE22" s="10">
        <f t="shared" si="0"/>
        <v>50612.854319215556</v>
      </c>
      <c r="AF22" s="10">
        <f t="shared" si="0"/>
        <v>51776.949968557507</v>
      </c>
    </row>
    <row r="23" spans="1:32" x14ac:dyDescent="0.2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2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2">
      <c r="B25" s="6"/>
      <c r="C25" s="10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2">
      <c r="A26" t="s">
        <v>7</v>
      </c>
      <c r="B26" s="10">
        <f>NPV($B$16, $C22:AF22)</f>
        <v>510525.50250697415</v>
      </c>
      <c r="C26" s="10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2">
      <c r="A27" t="s">
        <v>18</v>
      </c>
      <c r="B27" s="8" cm="1">
        <f t="array" ref="B27" xml:space="preserve"> -$B$13 - NPV($B$16,- $C$21:$F$21)</f>
        <v>-255826.12699256674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2">
      <c r="A28" t="s">
        <v>8</v>
      </c>
      <c r="B28" s="10">
        <f>$B$26 + $B$27</f>
        <v>254699.37551440741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2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2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Certification Program</vt:lpstr>
      <vt:lpstr>Masters in Management(MBA)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feranmi timilehin</dc:creator>
  <cp:lastModifiedBy>feranmi timilehin</cp:lastModifiedBy>
  <dcterms:created xsi:type="dcterms:W3CDTF">2026-01-17T17:24:58Z</dcterms:created>
  <dcterms:modified xsi:type="dcterms:W3CDTF">2026-01-21T22:59:26Z</dcterms:modified>
</cp:coreProperties>
</file>