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3/"/>
    </mc:Choice>
  </mc:AlternateContent>
  <xr:revisionPtr revIDLastSave="0" documentId="8_{79150078-7374-4A49-9F5C-5CF9326EC2CD}" xr6:coauthVersionLast="47" xr6:coauthVersionMax="47" xr10:uidLastSave="{00000000-0000-0000-0000-000000000000}"/>
  <bookViews>
    <workbookView xWindow="0" yWindow="740" windowWidth="29400" windowHeight="18380" xr2:uid="{21506FDB-B645-D14A-AE65-69E9E0315C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H31" i="1"/>
  <c r="F31" i="1"/>
  <c r="F10" i="1"/>
  <c r="F11" i="1"/>
  <c r="F12" i="1"/>
  <c r="F13" i="1"/>
  <c r="F14" i="1"/>
  <c r="F15" i="1"/>
  <c r="F16" i="1"/>
  <c r="F17" i="1"/>
  <c r="G17" i="1" s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9" i="1"/>
  <c r="G9" i="1" s="1"/>
  <c r="D31" i="1"/>
  <c r="K33" i="1"/>
  <c r="I33" i="1"/>
  <c r="E33" i="1"/>
  <c r="D6" i="1"/>
  <c r="E6" i="1" s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J4" i="1"/>
  <c r="G33" i="1" l="1"/>
</calcChain>
</file>

<file path=xl/sharedStrings.xml><?xml version="1.0" encoding="utf-8"?>
<sst xmlns="http://schemas.openxmlformats.org/spreadsheetml/2006/main" count="43" uniqueCount="17">
  <si>
    <t>Q1</t>
  </si>
  <si>
    <t>Q2</t>
  </si>
  <si>
    <t>Q3</t>
  </si>
  <si>
    <t>Q4</t>
  </si>
  <si>
    <t>Global Sales</t>
  </si>
  <si>
    <t>Moving Average 6-period</t>
  </si>
  <si>
    <t>Absolute error</t>
  </si>
  <si>
    <t xml:space="preserve">Absolute Error </t>
  </si>
  <si>
    <t>ExpSm,  α = 0.3</t>
  </si>
  <si>
    <t>ExpSm,  α = 0.5</t>
  </si>
  <si>
    <t>Absolute Error</t>
  </si>
  <si>
    <t xml:space="preserve">Moving Average 3-period </t>
  </si>
  <si>
    <t>??</t>
  </si>
  <si>
    <t>MAD 3-period:</t>
  </si>
  <si>
    <t>MAD 6-period:</t>
  </si>
  <si>
    <t>MAD = 0.3:</t>
  </si>
  <si>
    <t>MAD = 0.5: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</si>
</sst>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/>
    <xf numFmtId="0" fontId="0" fillId="0" borderId="0" xfId="0" applyFont="1" applyFill="1" applyBorder="1"/>
    <xf numFmtId="0" fontId="0" fillId="7" borderId="0" xfId="0" applyFill="1"/>
    <xf numFmtId="2" fontId="0" fillId="0" borderId="0" xfId="0" applyNumberFormat="1"/>
    <xf numFmtId="2" fontId="1" fillId="5" borderId="0" xfId="0" applyNumberFormat="1" applyFont="1" applyFill="1"/>
    <xf numFmtId="2" fontId="0" fillId="2" borderId="0" xfId="0" applyNumberFormat="1" applyFill="1"/>
    <xf numFmtId="2" fontId="1" fillId="8" borderId="0" xfId="0" applyNumberFormat="1" applyFont="1" applyFill="1"/>
    <xf numFmtId="2" fontId="1" fillId="6" borderId="0" xfId="0" applyNumberFormat="1" applyFont="1" applyFill="1"/>
    <xf numFmtId="2" fontId="1" fillId="4" borderId="0" xfId="0" applyNumberFormat="1" applyFont="1" applyFill="1"/>
    <xf numFmtId="2" fontId="0" fillId="2" borderId="0" xfId="0" applyNumberFormat="1" applyFont="1" applyFill="1" applyBorder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kern="1200" baseline="0">
                <a:solidFill>
                  <a:sysClr val="windowText" lastClr="000000"/>
                </a:solidFill>
              </a:rPr>
              <a:t>Tesla Sales Forecast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0.30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Sheet1!$A$2:$B$33</c:f>
              <c:multiLvlStrCache>
                <c:ptCount val="30"/>
                <c:lvl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  <c:pt idx="20">
                    <c:v>Q4</c:v>
                  </c:pt>
                  <c:pt idx="21">
                    <c:v>Q1</c:v>
                  </c:pt>
                  <c:pt idx="22">
                    <c:v>Q2</c:v>
                  </c:pt>
                  <c:pt idx="23">
                    <c:v>Q3</c:v>
                  </c:pt>
                  <c:pt idx="24">
                    <c:v>Q4</c:v>
                  </c:pt>
                  <c:pt idx="25">
                    <c:v>Q1</c:v>
                  </c:pt>
                  <c:pt idx="26">
                    <c:v>Q2</c:v>
                  </c:pt>
                  <c:pt idx="27">
                    <c:v>Q3</c:v>
                  </c:pt>
                  <c:pt idx="28">
                    <c:v>Q4</c:v>
                  </c:pt>
                  <c:pt idx="29">
                    <c:v>Q1</c:v>
                  </c:pt>
                </c:lvl>
                <c:lvl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2020</c:v>
                  </c:pt>
                  <c:pt idx="7">
                    <c:v>2020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2024</c:v>
                  </c:pt>
                  <c:pt idx="23">
                    <c:v>2024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2026</c:v>
                  </c:pt>
                </c:lvl>
              </c:multiLvlStrCache>
            </c:multiLvlStrRef>
          </c:cat>
          <c:val>
            <c:numRef>
              <c:f>Sheet1!$H$2:$H$33</c:f>
              <c:numCache>
                <c:formatCode>0.00</c:formatCode>
                <c:ptCount val="32"/>
                <c:pt idx="0">
                  <c:v>0</c:v>
                </c:pt>
                <c:pt idx="1">
                  <c:v>60000</c:v>
                </c:pt>
                <c:pt idx="2">
                  <c:v>60900</c:v>
                </c:pt>
                <c:pt idx="3">
                  <c:v>71190</c:v>
                </c:pt>
                <c:pt idx="4">
                  <c:v>78933</c:v>
                </c:pt>
                <c:pt idx="5">
                  <c:v>88853.1</c:v>
                </c:pt>
                <c:pt idx="6">
                  <c:v>88717.17</c:v>
                </c:pt>
                <c:pt idx="7">
                  <c:v>89297.019</c:v>
                </c:pt>
                <c:pt idx="8">
                  <c:v>104297.91329999999</c:v>
                </c:pt>
                <c:pt idx="9">
                  <c:v>127179.53930999998</c:v>
                </c:pt>
                <c:pt idx="10">
                  <c:v>144465.67751699997</c:v>
                </c:pt>
                <c:pt idx="11">
                  <c:v>161500.97426189997</c:v>
                </c:pt>
                <c:pt idx="12">
                  <c:v>185440.68198333</c:v>
                </c:pt>
                <c:pt idx="13">
                  <c:v>222388.47738833097</c:v>
                </c:pt>
                <c:pt idx="14">
                  <c:v>248686.33417183167</c:v>
                </c:pt>
                <c:pt idx="15">
                  <c:v>250488.93392028214</c:v>
                </c:pt>
                <c:pt idx="16">
                  <c:v>278491.25374419749</c:v>
                </c:pt>
                <c:pt idx="17">
                  <c:v>316527.27762093826</c:v>
                </c:pt>
                <c:pt idx="18">
                  <c:v>348431.59433465678</c:v>
                </c:pt>
                <c:pt idx="19">
                  <c:v>383744.11603425973</c:v>
                </c:pt>
                <c:pt idx="20">
                  <c:v>399138.5812239818</c:v>
                </c:pt>
                <c:pt idx="21">
                  <c:v>424749.10685678723</c:v>
                </c:pt>
                <c:pt idx="22">
                  <c:v>413367.37479975104</c:v>
                </c:pt>
                <c:pt idx="23">
                  <c:v>422543.96235982567</c:v>
                </c:pt>
                <c:pt idx="24">
                  <c:v>434647.77365187794</c:v>
                </c:pt>
                <c:pt idx="25">
                  <c:v>452924.44155631453</c:v>
                </c:pt>
                <c:pt idx="26">
                  <c:v>418051.40908942017</c:v>
                </c:pt>
                <c:pt idx="27">
                  <c:v>407872.5863625941</c:v>
                </c:pt>
                <c:pt idx="28">
                  <c:v>434640.5104538158</c:v>
                </c:pt>
                <c:pt idx="29">
                  <c:v>429716.45731767104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6-7F4A-9E26-93D710F36411}"/>
            </c:ext>
          </c:extLst>
        </c:ser>
        <c:ser>
          <c:idx val="2"/>
          <c:order val="1"/>
          <c:tx>
            <c:strRef>
              <c:f>Sheet1!$J$1</c:f>
              <c:strCache>
                <c:ptCount val="1"/>
                <c:pt idx="0">
                  <c:v>0.50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Sheet1!$A$2:$B$33</c:f>
              <c:multiLvlStrCache>
                <c:ptCount val="30"/>
                <c:lvl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  <c:pt idx="20">
                    <c:v>Q4</c:v>
                  </c:pt>
                  <c:pt idx="21">
                    <c:v>Q1</c:v>
                  </c:pt>
                  <c:pt idx="22">
                    <c:v>Q2</c:v>
                  </c:pt>
                  <c:pt idx="23">
                    <c:v>Q3</c:v>
                  </c:pt>
                  <c:pt idx="24">
                    <c:v>Q4</c:v>
                  </c:pt>
                  <c:pt idx="25">
                    <c:v>Q1</c:v>
                  </c:pt>
                  <c:pt idx="26">
                    <c:v>Q2</c:v>
                  </c:pt>
                  <c:pt idx="27">
                    <c:v>Q3</c:v>
                  </c:pt>
                  <c:pt idx="28">
                    <c:v>Q4</c:v>
                  </c:pt>
                  <c:pt idx="29">
                    <c:v>Q1</c:v>
                  </c:pt>
                </c:lvl>
                <c:lvl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2020</c:v>
                  </c:pt>
                  <c:pt idx="7">
                    <c:v>2020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2024</c:v>
                  </c:pt>
                  <c:pt idx="23">
                    <c:v>2024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2026</c:v>
                  </c:pt>
                </c:lvl>
              </c:multiLvlStrCache>
            </c:multiLvlStrRef>
          </c:cat>
          <c:val>
            <c:numRef>
              <c:f>Sheet1!$J$2:$J$33</c:f>
              <c:numCache>
                <c:formatCode>0.00</c:formatCode>
                <c:ptCount val="32"/>
                <c:pt idx="0">
                  <c:v>0</c:v>
                </c:pt>
                <c:pt idx="1">
                  <c:v>60000</c:v>
                </c:pt>
                <c:pt idx="2">
                  <c:v>61500</c:v>
                </c:pt>
                <c:pt idx="3">
                  <c:v>78350</c:v>
                </c:pt>
                <c:pt idx="4">
                  <c:v>87675</c:v>
                </c:pt>
                <c:pt idx="5">
                  <c:v>99837.5</c:v>
                </c:pt>
                <c:pt idx="6">
                  <c:v>94118.75</c:v>
                </c:pt>
                <c:pt idx="7">
                  <c:v>92384.375</c:v>
                </c:pt>
                <c:pt idx="8">
                  <c:v>115842.1875</c:v>
                </c:pt>
                <c:pt idx="9">
                  <c:v>148206.09375</c:v>
                </c:pt>
                <c:pt idx="10">
                  <c:v>166503.046875</c:v>
                </c:pt>
                <c:pt idx="11">
                  <c:v>183876.5234375</c:v>
                </c:pt>
                <c:pt idx="12">
                  <c:v>212588.26171875</c:v>
                </c:pt>
                <c:pt idx="13">
                  <c:v>260594.130859375</c:v>
                </c:pt>
                <c:pt idx="14">
                  <c:v>285321.0654296875</c:v>
                </c:pt>
                <c:pt idx="15">
                  <c:v>270008.03271484375</c:v>
                </c:pt>
                <c:pt idx="16">
                  <c:v>306919.01635742188</c:v>
                </c:pt>
                <c:pt idx="17">
                  <c:v>356098.50817871094</c:v>
                </c:pt>
                <c:pt idx="18">
                  <c:v>389486.75408935547</c:v>
                </c:pt>
                <c:pt idx="19">
                  <c:v>427813.37704467773</c:v>
                </c:pt>
                <c:pt idx="20">
                  <c:v>431436.18852233887</c:v>
                </c:pt>
                <c:pt idx="21">
                  <c:v>457971.59426116943</c:v>
                </c:pt>
                <c:pt idx="22">
                  <c:v>422390.79713058472</c:v>
                </c:pt>
                <c:pt idx="23">
                  <c:v>433173.39856529236</c:v>
                </c:pt>
                <c:pt idx="24">
                  <c:v>448031.69928264618</c:v>
                </c:pt>
                <c:pt idx="25">
                  <c:v>471800.84964132309</c:v>
                </c:pt>
                <c:pt idx="26">
                  <c:v>404240.92482066154</c:v>
                </c:pt>
                <c:pt idx="27">
                  <c:v>394181.46241033077</c:v>
                </c:pt>
                <c:pt idx="28">
                  <c:v>445640.23120516539</c:v>
                </c:pt>
                <c:pt idx="29">
                  <c:v>431933.61560258269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F6-7F4A-9E26-93D710F36411}"/>
            </c:ext>
          </c:extLst>
        </c:ser>
        <c:ser>
          <c:idx val="0"/>
          <c:order val="2"/>
          <c:tx>
            <c:v>3-week MA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Sheet1!$D$1:$D$31</c:f>
              <c:numCache>
                <c:formatCode>0.00</c:formatCode>
                <c:ptCount val="31"/>
                <c:pt idx="1">
                  <c:v>0</c:v>
                </c:pt>
                <c:pt idx="5">
                  <c:v>85066.666666666672</c:v>
                </c:pt>
                <c:pt idx="6">
                  <c:v>101400</c:v>
                </c:pt>
                <c:pt idx="7">
                  <c:v>99133.333333333328</c:v>
                </c:pt>
                <c:pt idx="8">
                  <c:v>97016.666666666672</c:v>
                </c:pt>
                <c:pt idx="9">
                  <c:v>106116.66666666667</c:v>
                </c:pt>
                <c:pt idx="10">
                  <c:v>136840</c:v>
                </c:pt>
                <c:pt idx="11">
                  <c:v>168223.33333333334</c:v>
                </c:pt>
                <c:pt idx="12">
                  <c:v>188873.33333333334</c:v>
                </c:pt>
                <c:pt idx="13">
                  <c:v>209116.66666666666</c:v>
                </c:pt>
                <c:pt idx="14">
                  <c:v>250383.33333333334</c:v>
                </c:pt>
                <c:pt idx="15">
                  <c:v>286649.33333333331</c:v>
                </c:pt>
                <c:pt idx="16">
                  <c:v>291114.33333333331</c:v>
                </c:pt>
                <c:pt idx="17">
                  <c:v>302857.66666666669</c:v>
                </c:pt>
                <c:pt idx="18">
                  <c:v>334601</c:v>
                </c:pt>
                <c:pt idx="19">
                  <c:v>390661</c:v>
                </c:pt>
                <c:pt idx="20">
                  <c:v>431431</c:v>
                </c:pt>
                <c:pt idx="21">
                  <c:v>441358</c:v>
                </c:pt>
                <c:pt idx="22">
                  <c:v>461902</c:v>
                </c:pt>
                <c:pt idx="23">
                  <c:v>435458.66666666669</c:v>
                </c:pt>
                <c:pt idx="24">
                  <c:v>438424.33333333331</c:v>
                </c:pt>
                <c:pt idx="25">
                  <c:v>431218.66666666669</c:v>
                </c:pt>
                <c:pt idx="26">
                  <c:v>467472</c:v>
                </c:pt>
                <c:pt idx="27">
                  <c:v>431713.66666666669</c:v>
                </c:pt>
                <c:pt idx="28">
                  <c:v>405457.66666666669</c:v>
                </c:pt>
                <c:pt idx="29">
                  <c:v>405967.33333333331</c:v>
                </c:pt>
                <c:pt idx="30">
                  <c:v>433149.33333333331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F6-7F4A-9E26-93D710F36411}"/>
            </c:ext>
          </c:extLst>
        </c:ser>
        <c:ser>
          <c:idx val="3"/>
          <c:order val="3"/>
          <c:tx>
            <c:v>6-week 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Sheet1!$F$9:$F$31</c:f>
              <c:numCache>
                <c:formatCode>0.00</c:formatCode>
                <c:ptCount val="23"/>
                <c:pt idx="0">
                  <c:v>91041.666666666672</c:v>
                </c:pt>
                <c:pt idx="1">
                  <c:v>103758.33333333333</c:v>
                </c:pt>
                <c:pt idx="2">
                  <c:v>117986.66666666667</c:v>
                </c:pt>
                <c:pt idx="3">
                  <c:v>132620</c:v>
                </c:pt>
                <c:pt idx="4">
                  <c:v>147495</c:v>
                </c:pt>
                <c:pt idx="5">
                  <c:v>172978.33333333334</c:v>
                </c:pt>
                <c:pt idx="6">
                  <c:v>209303.33333333334</c:v>
                </c:pt>
                <c:pt idx="7">
                  <c:v>237761.33333333334</c:v>
                </c:pt>
                <c:pt idx="8">
                  <c:v>250115.5</c:v>
                </c:pt>
                <c:pt idx="9">
                  <c:v>276620.5</c:v>
                </c:pt>
                <c:pt idx="10">
                  <c:v>310625.16666666669</c:v>
                </c:pt>
                <c:pt idx="11">
                  <c:v>340887.66666666669</c:v>
                </c:pt>
                <c:pt idx="12">
                  <c:v>367144.33333333331</c:v>
                </c:pt>
                <c:pt idx="13">
                  <c:v>387979.5</c:v>
                </c:pt>
                <c:pt idx="14">
                  <c:v>426281.5</c:v>
                </c:pt>
                <c:pt idx="15">
                  <c:v>433444.83333333331</c:v>
                </c:pt>
                <c:pt idx="16">
                  <c:v>439891.16666666669</c:v>
                </c:pt>
                <c:pt idx="17">
                  <c:v>446560.33333333331</c:v>
                </c:pt>
                <c:pt idx="18">
                  <c:v>451465.33333333331</c:v>
                </c:pt>
                <c:pt idx="19">
                  <c:v>435069</c:v>
                </c:pt>
                <c:pt idx="20">
                  <c:v>418338.16666666669</c:v>
                </c:pt>
                <c:pt idx="21">
                  <c:v>436719.66666666669</c:v>
                </c:pt>
                <c:pt idx="22">
                  <c:v>432431.5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F6-7F4A-9E26-93D710F36411}"/>
            </c:ext>
          </c:extLst>
        </c:ser>
        <c:ser>
          <c:idx val="4"/>
          <c:order val="4"/>
          <c:tx>
            <c:v>Global Sales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Sheet1!$C$3:$C$30</c:f>
              <c:numCache>
                <c:formatCode>General</c:formatCode>
                <c:ptCount val="28"/>
                <c:pt idx="0">
                  <c:v>63000</c:v>
                </c:pt>
                <c:pt idx="1">
                  <c:v>95200</c:v>
                </c:pt>
                <c:pt idx="2">
                  <c:v>97000</c:v>
                </c:pt>
                <c:pt idx="3">
                  <c:v>112000</c:v>
                </c:pt>
                <c:pt idx="4">
                  <c:v>88400</c:v>
                </c:pt>
                <c:pt idx="5">
                  <c:v>90650</c:v>
                </c:pt>
                <c:pt idx="6">
                  <c:v>139300</c:v>
                </c:pt>
                <c:pt idx="7">
                  <c:v>180570</c:v>
                </c:pt>
                <c:pt idx="8">
                  <c:v>184800</c:v>
                </c:pt>
                <c:pt idx="9">
                  <c:v>201250</c:v>
                </c:pt>
                <c:pt idx="10">
                  <c:v>241300</c:v>
                </c:pt>
                <c:pt idx="11">
                  <c:v>308600</c:v>
                </c:pt>
                <c:pt idx="12">
                  <c:v>310048</c:v>
                </c:pt>
                <c:pt idx="13">
                  <c:v>254695</c:v>
                </c:pt>
                <c:pt idx="14">
                  <c:v>343830</c:v>
                </c:pt>
                <c:pt idx="15">
                  <c:v>405278</c:v>
                </c:pt>
                <c:pt idx="16">
                  <c:v>422875</c:v>
                </c:pt>
                <c:pt idx="17">
                  <c:v>466140</c:v>
                </c:pt>
                <c:pt idx="18">
                  <c:v>435059</c:v>
                </c:pt>
                <c:pt idx="19">
                  <c:v>484507</c:v>
                </c:pt>
                <c:pt idx="20">
                  <c:v>386810</c:v>
                </c:pt>
                <c:pt idx="21">
                  <c:v>443956</c:v>
                </c:pt>
                <c:pt idx="22">
                  <c:v>462890</c:v>
                </c:pt>
                <c:pt idx="23">
                  <c:v>495570</c:v>
                </c:pt>
                <c:pt idx="24">
                  <c:v>336681</c:v>
                </c:pt>
                <c:pt idx="25">
                  <c:v>384122</c:v>
                </c:pt>
                <c:pt idx="26">
                  <c:v>497099</c:v>
                </c:pt>
                <c:pt idx="27">
                  <c:v>418227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F6-7F4A-9E26-93D710F3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547936"/>
        <c:axId val="301723840"/>
      </c:lineChart>
      <c:catAx>
        <c:axId val="301547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1723840"/>
        <c:crosses val="autoZero"/>
        <c:auto val="1"/>
        <c:lblAlgn val="ctr"/>
        <c:lblOffset val="100"/>
        <c:noMultiLvlLbl val="0"/>
      </c:catAx>
      <c:valAx>
        <c:axId val="3017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4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968942028479825"/>
          <c:y val="0.32417587825560262"/>
          <c:w val="0.10440216021741741"/>
          <c:h val="0.30859516959418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6</xdr:row>
      <xdr:rowOff>139700</xdr:rowOff>
    </xdr:from>
    <xdr:to>
      <xdr:col>27</xdr:col>
      <xdr:colOff>127000</xdr:colOff>
      <xdr:row>32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C812EE-257F-C62F-6AF3-C2812BE00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2467-9D92-F347-9895-3408626E97F1}">
  <dimension ref="A1:K33"/>
  <sheetViews>
    <sheetView tabSelected="1" topLeftCell="I1" workbookViewId="0">
      <selection activeCell="L13" sqref="L13"/>
    </sheetView>
  </sheetViews>
  <sheetFormatPr baseColWidth="10" defaultRowHeight="16" x14ac:dyDescent="0.2"/>
  <cols>
    <col min="2" max="2" width="6.33203125" customWidth="1"/>
    <col min="3" max="3" width="20" customWidth="1"/>
    <col min="4" max="4" width="23.1640625" style="4" customWidth="1"/>
    <col min="5" max="5" width="22.1640625" style="4" customWidth="1"/>
    <col min="6" max="6" width="25.83203125" style="4" customWidth="1"/>
    <col min="7" max="7" width="16.5" style="4" customWidth="1"/>
    <col min="8" max="8" width="18" style="4" customWidth="1"/>
    <col min="9" max="9" width="15.33203125" style="4" customWidth="1"/>
    <col min="10" max="10" width="16.33203125" style="4" customWidth="1"/>
    <col min="11" max="11" width="14.83203125" style="4" customWidth="1"/>
  </cols>
  <sheetData>
    <row r="1" spans="1:11" x14ac:dyDescent="0.2">
      <c r="H1" s="4">
        <v>0.3</v>
      </c>
      <c r="J1" s="4">
        <v>0.5</v>
      </c>
    </row>
    <row r="2" spans="1:11" x14ac:dyDescent="0.2">
      <c r="C2" s="1" t="s">
        <v>4</v>
      </c>
      <c r="D2" s="9" t="s">
        <v>11</v>
      </c>
      <c r="E2" s="9" t="s">
        <v>10</v>
      </c>
      <c r="F2" s="5" t="s">
        <v>5</v>
      </c>
      <c r="G2" s="5" t="s">
        <v>6</v>
      </c>
      <c r="H2" s="8" t="s">
        <v>8</v>
      </c>
      <c r="I2" s="8" t="s">
        <v>7</v>
      </c>
      <c r="J2" s="8" t="s">
        <v>9</v>
      </c>
      <c r="K2" s="8" t="s">
        <v>7</v>
      </c>
    </row>
    <row r="3" spans="1:11" x14ac:dyDescent="0.2">
      <c r="A3">
        <v>2019</v>
      </c>
      <c r="B3" t="s">
        <v>0</v>
      </c>
      <c r="C3" s="2">
        <v>63000</v>
      </c>
      <c r="D3" s="10"/>
      <c r="E3" s="10"/>
      <c r="F3" s="6"/>
      <c r="G3" s="6"/>
      <c r="H3" s="4">
        <v>60000</v>
      </c>
      <c r="J3" s="4">
        <v>60000</v>
      </c>
    </row>
    <row r="4" spans="1:11" x14ac:dyDescent="0.2">
      <c r="A4">
        <v>2019</v>
      </c>
      <c r="B4" t="s">
        <v>1</v>
      </c>
      <c r="C4" s="2">
        <v>95200</v>
      </c>
      <c r="D4" s="10"/>
      <c r="E4" s="10"/>
      <c r="F4" s="6"/>
      <c r="G4" s="6"/>
      <c r="H4" s="4">
        <f>0.3*C3+ (1-0.3)*H3</f>
        <v>60900</v>
      </c>
      <c r="I4" s="4">
        <f t="shared" ref="I4:I30" si="0">ABS(H4-C4)</f>
        <v>34300</v>
      </c>
      <c r="J4" s="4">
        <f>0.5*C3+(1-0.5)*J3</f>
        <v>61500</v>
      </c>
      <c r="K4" s="4">
        <f t="shared" ref="K4:K30" si="1">ABS(J4-C4)</f>
        <v>33700</v>
      </c>
    </row>
    <row r="5" spans="1:11" x14ac:dyDescent="0.2">
      <c r="A5">
        <v>2019</v>
      </c>
      <c r="B5" t="s">
        <v>2</v>
      </c>
      <c r="C5" s="2">
        <v>97000</v>
      </c>
      <c r="D5" s="10"/>
      <c r="E5" s="10"/>
      <c r="F5" s="6"/>
      <c r="G5" s="6"/>
      <c r="H5" s="4">
        <f t="shared" ref="H5:H30" si="2">0.3*C4+ (1-0.3)*H4</f>
        <v>71190</v>
      </c>
      <c r="I5" s="4">
        <f t="shared" si="0"/>
        <v>25810</v>
      </c>
      <c r="J5" s="4">
        <f t="shared" ref="J5:J30" si="3">0.5*C4+(1-0.5)*J4</f>
        <v>78350</v>
      </c>
      <c r="K5" s="4">
        <f t="shared" si="1"/>
        <v>18650</v>
      </c>
    </row>
    <row r="6" spans="1:11" x14ac:dyDescent="0.2">
      <c r="A6">
        <v>2019</v>
      </c>
      <c r="B6" t="s">
        <v>3</v>
      </c>
      <c r="C6" s="2">
        <v>112000</v>
      </c>
      <c r="D6" s="4">
        <f>AVERAGE(C3:C5)</f>
        <v>85066.666666666672</v>
      </c>
      <c r="E6" s="11">
        <f>ABS(D6-C6)</f>
        <v>26933.333333333328</v>
      </c>
      <c r="F6" s="6"/>
      <c r="G6" s="6"/>
      <c r="H6" s="4">
        <f t="shared" si="2"/>
        <v>78933</v>
      </c>
      <c r="I6" s="4">
        <f t="shared" si="0"/>
        <v>33067</v>
      </c>
      <c r="J6" s="4">
        <f t="shared" si="3"/>
        <v>87675</v>
      </c>
      <c r="K6" s="4">
        <f t="shared" si="1"/>
        <v>24325</v>
      </c>
    </row>
    <row r="7" spans="1:11" x14ac:dyDescent="0.2">
      <c r="A7">
        <v>2020</v>
      </c>
      <c r="B7" t="s">
        <v>0</v>
      </c>
      <c r="C7" s="2">
        <v>88400</v>
      </c>
      <c r="D7" s="4">
        <f t="shared" ref="D7:D30" si="4">AVERAGE(C4:C6)</f>
        <v>101400</v>
      </c>
      <c r="E7" s="11">
        <f t="shared" ref="E7:E30" si="5">ABS(D7-C7)</f>
        <v>13000</v>
      </c>
      <c r="F7" s="6"/>
      <c r="G7" s="6"/>
      <c r="H7" s="4">
        <f t="shared" si="2"/>
        <v>88853.1</v>
      </c>
      <c r="I7" s="4">
        <f t="shared" si="0"/>
        <v>453.10000000000582</v>
      </c>
      <c r="J7" s="4">
        <f t="shared" si="3"/>
        <v>99837.5</v>
      </c>
      <c r="K7" s="4">
        <f t="shared" si="1"/>
        <v>11437.5</v>
      </c>
    </row>
    <row r="8" spans="1:11" x14ac:dyDescent="0.2">
      <c r="A8">
        <v>2020</v>
      </c>
      <c r="B8" t="s">
        <v>1</v>
      </c>
      <c r="C8" s="2">
        <v>90650</v>
      </c>
      <c r="D8" s="4">
        <f t="shared" si="4"/>
        <v>99133.333333333328</v>
      </c>
      <c r="E8" s="11">
        <f t="shared" si="5"/>
        <v>8483.3333333333285</v>
      </c>
      <c r="F8" s="6"/>
      <c r="G8" s="6"/>
      <c r="H8" s="4">
        <f t="shared" si="2"/>
        <v>88717.17</v>
      </c>
      <c r="I8" s="4">
        <f t="shared" si="0"/>
        <v>1932.8300000000017</v>
      </c>
      <c r="J8" s="4">
        <f t="shared" si="3"/>
        <v>94118.75</v>
      </c>
      <c r="K8" s="4">
        <f t="shared" si="1"/>
        <v>3468.75</v>
      </c>
    </row>
    <row r="9" spans="1:11" x14ac:dyDescent="0.2">
      <c r="A9">
        <v>2020</v>
      </c>
      <c r="B9" t="s">
        <v>2</v>
      </c>
      <c r="C9" s="2">
        <v>139300</v>
      </c>
      <c r="D9" s="4">
        <f t="shared" si="4"/>
        <v>97016.666666666672</v>
      </c>
      <c r="E9" s="11">
        <f t="shared" si="5"/>
        <v>42283.333333333328</v>
      </c>
      <c r="F9" s="4">
        <f>AVERAGE(C3:C8)</f>
        <v>91041.666666666672</v>
      </c>
      <c r="G9" s="4">
        <f>ABS(F9-C9)</f>
        <v>48258.333333333328</v>
      </c>
      <c r="H9" s="4">
        <f t="shared" si="2"/>
        <v>89297.019</v>
      </c>
      <c r="I9" s="4">
        <f t="shared" si="0"/>
        <v>50002.981</v>
      </c>
      <c r="J9" s="4">
        <f t="shared" si="3"/>
        <v>92384.375</v>
      </c>
      <c r="K9" s="4">
        <f t="shared" si="1"/>
        <v>46915.625</v>
      </c>
    </row>
    <row r="10" spans="1:11" x14ac:dyDescent="0.2">
      <c r="A10">
        <v>2020</v>
      </c>
      <c r="B10" t="s">
        <v>3</v>
      </c>
      <c r="C10" s="2">
        <v>180570</v>
      </c>
      <c r="D10" s="4">
        <f t="shared" si="4"/>
        <v>106116.66666666667</v>
      </c>
      <c r="E10" s="11">
        <f t="shared" si="5"/>
        <v>74453.333333333328</v>
      </c>
      <c r="F10" s="4">
        <f t="shared" ref="F10:F30" si="6">AVERAGE(C4:C9)</f>
        <v>103758.33333333333</v>
      </c>
      <c r="G10" s="4">
        <f t="shared" ref="G10:G30" si="7">ABS(F10-C10)</f>
        <v>76811.666666666672</v>
      </c>
      <c r="H10" s="4">
        <f t="shared" si="2"/>
        <v>104297.91329999999</v>
      </c>
      <c r="I10" s="4">
        <f t="shared" si="0"/>
        <v>76272.086700000014</v>
      </c>
      <c r="J10" s="4">
        <f t="shared" si="3"/>
        <v>115842.1875</v>
      </c>
      <c r="K10" s="4">
        <f t="shared" si="1"/>
        <v>64727.8125</v>
      </c>
    </row>
    <row r="11" spans="1:11" x14ac:dyDescent="0.2">
      <c r="A11">
        <v>2021</v>
      </c>
      <c r="B11" t="s">
        <v>0</v>
      </c>
      <c r="C11" s="2">
        <v>184800</v>
      </c>
      <c r="D11" s="4">
        <f t="shared" si="4"/>
        <v>136840</v>
      </c>
      <c r="E11" s="11">
        <f t="shared" si="5"/>
        <v>47960</v>
      </c>
      <c r="F11" s="4">
        <f t="shared" si="6"/>
        <v>117986.66666666667</v>
      </c>
      <c r="G11" s="4">
        <f t="shared" si="7"/>
        <v>66813.333333333328</v>
      </c>
      <c r="H11" s="4">
        <f t="shared" si="2"/>
        <v>127179.53930999998</v>
      </c>
      <c r="I11" s="4">
        <f t="shared" si="0"/>
        <v>57620.460690000022</v>
      </c>
      <c r="J11" s="4">
        <f t="shared" si="3"/>
        <v>148206.09375</v>
      </c>
      <c r="K11" s="4">
        <f t="shared" si="1"/>
        <v>36593.90625</v>
      </c>
    </row>
    <row r="12" spans="1:11" x14ac:dyDescent="0.2">
      <c r="A12">
        <v>2021</v>
      </c>
      <c r="B12" t="s">
        <v>1</v>
      </c>
      <c r="C12" s="2">
        <v>201250</v>
      </c>
      <c r="D12" s="4">
        <f t="shared" si="4"/>
        <v>168223.33333333334</v>
      </c>
      <c r="E12" s="11">
        <f t="shared" si="5"/>
        <v>33026.666666666657</v>
      </c>
      <c r="F12" s="4">
        <f t="shared" si="6"/>
        <v>132620</v>
      </c>
      <c r="G12" s="4">
        <f t="shared" si="7"/>
        <v>68630</v>
      </c>
      <c r="H12" s="4">
        <f t="shared" si="2"/>
        <v>144465.67751699997</v>
      </c>
      <c r="I12" s="4">
        <f t="shared" si="0"/>
        <v>56784.322483000025</v>
      </c>
      <c r="J12" s="4">
        <f t="shared" si="3"/>
        <v>166503.046875</v>
      </c>
      <c r="K12" s="4">
        <f t="shared" si="1"/>
        <v>34746.953125</v>
      </c>
    </row>
    <row r="13" spans="1:11" x14ac:dyDescent="0.2">
      <c r="A13">
        <v>2021</v>
      </c>
      <c r="B13" t="s">
        <v>2</v>
      </c>
      <c r="C13" s="2">
        <v>241300</v>
      </c>
      <c r="D13" s="4">
        <f t="shared" si="4"/>
        <v>188873.33333333334</v>
      </c>
      <c r="E13" s="11">
        <f t="shared" si="5"/>
        <v>52426.666666666657</v>
      </c>
      <c r="F13" s="4">
        <f t="shared" si="6"/>
        <v>147495</v>
      </c>
      <c r="G13" s="4">
        <f t="shared" si="7"/>
        <v>93805</v>
      </c>
      <c r="H13" s="4">
        <f t="shared" si="2"/>
        <v>161500.97426189997</v>
      </c>
      <c r="I13" s="4">
        <f t="shared" si="0"/>
        <v>79799.025738100027</v>
      </c>
      <c r="J13" s="4">
        <f t="shared" si="3"/>
        <v>183876.5234375</v>
      </c>
      <c r="K13" s="4">
        <f t="shared" si="1"/>
        <v>57423.4765625</v>
      </c>
    </row>
    <row r="14" spans="1:11" x14ac:dyDescent="0.2">
      <c r="A14">
        <v>2021</v>
      </c>
      <c r="B14" t="s">
        <v>3</v>
      </c>
      <c r="C14" s="2">
        <v>308600</v>
      </c>
      <c r="D14" s="4">
        <f t="shared" si="4"/>
        <v>209116.66666666666</v>
      </c>
      <c r="E14" s="11">
        <f t="shared" si="5"/>
        <v>99483.333333333343</v>
      </c>
      <c r="F14" s="4">
        <f t="shared" si="6"/>
        <v>172978.33333333334</v>
      </c>
      <c r="G14" s="4">
        <f t="shared" si="7"/>
        <v>135621.66666666666</v>
      </c>
      <c r="H14" s="4">
        <f t="shared" si="2"/>
        <v>185440.68198333</v>
      </c>
      <c r="I14" s="4">
        <f t="shared" si="0"/>
        <v>123159.31801667</v>
      </c>
      <c r="J14" s="4">
        <f t="shared" si="3"/>
        <v>212588.26171875</v>
      </c>
      <c r="K14" s="4">
        <f t="shared" si="1"/>
        <v>96011.73828125</v>
      </c>
    </row>
    <row r="15" spans="1:11" x14ac:dyDescent="0.2">
      <c r="A15">
        <v>2022</v>
      </c>
      <c r="B15" t="s">
        <v>0</v>
      </c>
      <c r="C15" s="2">
        <v>310048</v>
      </c>
      <c r="D15" s="4">
        <f t="shared" si="4"/>
        <v>250383.33333333334</v>
      </c>
      <c r="E15" s="11">
        <f t="shared" si="5"/>
        <v>59664.666666666657</v>
      </c>
      <c r="F15" s="4">
        <f t="shared" si="6"/>
        <v>209303.33333333334</v>
      </c>
      <c r="G15" s="4">
        <f t="shared" si="7"/>
        <v>100744.66666666666</v>
      </c>
      <c r="H15" s="4">
        <f t="shared" si="2"/>
        <v>222388.47738833097</v>
      </c>
      <c r="I15" s="4">
        <f t="shared" si="0"/>
        <v>87659.522611669032</v>
      </c>
      <c r="J15" s="4">
        <f t="shared" si="3"/>
        <v>260594.130859375</v>
      </c>
      <c r="K15" s="4">
        <f t="shared" si="1"/>
        <v>49453.869140625</v>
      </c>
    </row>
    <row r="16" spans="1:11" x14ac:dyDescent="0.2">
      <c r="A16">
        <v>2022</v>
      </c>
      <c r="B16" t="s">
        <v>1</v>
      </c>
      <c r="C16" s="2">
        <v>254695</v>
      </c>
      <c r="D16" s="4">
        <f t="shared" si="4"/>
        <v>286649.33333333331</v>
      </c>
      <c r="E16" s="11">
        <f t="shared" si="5"/>
        <v>31954.333333333314</v>
      </c>
      <c r="F16" s="4">
        <f t="shared" si="6"/>
        <v>237761.33333333334</v>
      </c>
      <c r="G16" s="4">
        <f t="shared" si="7"/>
        <v>16933.666666666657</v>
      </c>
      <c r="H16" s="4">
        <f t="shared" si="2"/>
        <v>248686.33417183167</v>
      </c>
      <c r="I16" s="4">
        <f t="shared" si="0"/>
        <v>6008.665828168334</v>
      </c>
      <c r="J16" s="4">
        <f t="shared" si="3"/>
        <v>285321.0654296875</v>
      </c>
      <c r="K16" s="4">
        <f t="shared" si="1"/>
        <v>30626.0654296875</v>
      </c>
    </row>
    <row r="17" spans="1:11" x14ac:dyDescent="0.2">
      <c r="A17">
        <v>2022</v>
      </c>
      <c r="B17" t="s">
        <v>2</v>
      </c>
      <c r="C17" s="2">
        <v>343830</v>
      </c>
      <c r="D17" s="4">
        <f t="shared" si="4"/>
        <v>291114.33333333331</v>
      </c>
      <c r="E17" s="11">
        <f t="shared" si="5"/>
        <v>52715.666666666686</v>
      </c>
      <c r="F17" s="4">
        <f t="shared" si="6"/>
        <v>250115.5</v>
      </c>
      <c r="G17" s="4">
        <f t="shared" si="7"/>
        <v>93714.5</v>
      </c>
      <c r="H17" s="4">
        <f t="shared" si="2"/>
        <v>250488.93392028214</v>
      </c>
      <c r="I17" s="4">
        <f t="shared" si="0"/>
        <v>93341.066079717857</v>
      </c>
      <c r="J17" s="4">
        <f t="shared" si="3"/>
        <v>270008.03271484375</v>
      </c>
      <c r="K17" s="4">
        <f t="shared" si="1"/>
        <v>73821.96728515625</v>
      </c>
    </row>
    <row r="18" spans="1:11" x14ac:dyDescent="0.2">
      <c r="A18">
        <v>2022</v>
      </c>
      <c r="B18" t="s">
        <v>3</v>
      </c>
      <c r="C18" s="2">
        <v>405278</v>
      </c>
      <c r="D18" s="4">
        <f t="shared" si="4"/>
        <v>302857.66666666669</v>
      </c>
      <c r="E18" s="11">
        <f t="shared" si="5"/>
        <v>102420.33333333331</v>
      </c>
      <c r="F18" s="4">
        <f t="shared" si="6"/>
        <v>276620.5</v>
      </c>
      <c r="G18" s="4">
        <f t="shared" si="7"/>
        <v>128657.5</v>
      </c>
      <c r="H18" s="4">
        <f t="shared" si="2"/>
        <v>278491.25374419749</v>
      </c>
      <c r="I18" s="4">
        <f t="shared" si="0"/>
        <v>126786.74625580251</v>
      </c>
      <c r="J18" s="4">
        <f t="shared" si="3"/>
        <v>306919.01635742188</v>
      </c>
      <c r="K18" s="4">
        <f t="shared" si="1"/>
        <v>98358.983642578125</v>
      </c>
    </row>
    <row r="19" spans="1:11" x14ac:dyDescent="0.2">
      <c r="A19">
        <v>2023</v>
      </c>
      <c r="B19" t="s">
        <v>0</v>
      </c>
      <c r="C19" s="2">
        <v>422875</v>
      </c>
      <c r="D19" s="4">
        <f t="shared" si="4"/>
        <v>334601</v>
      </c>
      <c r="E19" s="11">
        <f t="shared" si="5"/>
        <v>88274</v>
      </c>
      <c r="F19" s="4">
        <f t="shared" si="6"/>
        <v>310625.16666666669</v>
      </c>
      <c r="G19" s="4">
        <f t="shared" si="7"/>
        <v>112249.83333333331</v>
      </c>
      <c r="H19" s="4">
        <f t="shared" si="2"/>
        <v>316527.27762093826</v>
      </c>
      <c r="I19" s="4">
        <f t="shared" si="0"/>
        <v>106347.72237906174</v>
      </c>
      <c r="J19" s="4">
        <f t="shared" si="3"/>
        <v>356098.50817871094</v>
      </c>
      <c r="K19" s="4">
        <f t="shared" si="1"/>
        <v>66776.491821289062</v>
      </c>
    </row>
    <row r="20" spans="1:11" x14ac:dyDescent="0.2">
      <c r="A20">
        <v>2023</v>
      </c>
      <c r="B20" t="s">
        <v>1</v>
      </c>
      <c r="C20" s="2">
        <v>466140</v>
      </c>
      <c r="D20" s="4">
        <f t="shared" si="4"/>
        <v>390661</v>
      </c>
      <c r="E20" s="11">
        <f t="shared" si="5"/>
        <v>75479</v>
      </c>
      <c r="F20" s="4">
        <f t="shared" si="6"/>
        <v>340887.66666666669</v>
      </c>
      <c r="G20" s="4">
        <f t="shared" si="7"/>
        <v>125252.33333333331</v>
      </c>
      <c r="H20" s="4">
        <f t="shared" si="2"/>
        <v>348431.59433465678</v>
      </c>
      <c r="I20" s="4">
        <f t="shared" si="0"/>
        <v>117708.40566534322</v>
      </c>
      <c r="J20" s="4">
        <f t="shared" si="3"/>
        <v>389486.75408935547</v>
      </c>
      <c r="K20" s="4">
        <f t="shared" si="1"/>
        <v>76653.245910644531</v>
      </c>
    </row>
    <row r="21" spans="1:11" x14ac:dyDescent="0.2">
      <c r="A21">
        <v>2023</v>
      </c>
      <c r="B21" t="s">
        <v>2</v>
      </c>
      <c r="C21" s="2">
        <v>435059</v>
      </c>
      <c r="D21" s="4">
        <f t="shared" si="4"/>
        <v>431431</v>
      </c>
      <c r="E21" s="11">
        <f t="shared" si="5"/>
        <v>3628</v>
      </c>
      <c r="F21" s="4">
        <f t="shared" si="6"/>
        <v>367144.33333333331</v>
      </c>
      <c r="G21" s="4">
        <f t="shared" si="7"/>
        <v>67914.666666666686</v>
      </c>
      <c r="H21" s="4">
        <f t="shared" si="2"/>
        <v>383744.11603425973</v>
      </c>
      <c r="I21" s="4">
        <f t="shared" si="0"/>
        <v>51314.883965740271</v>
      </c>
      <c r="J21" s="4">
        <f t="shared" si="3"/>
        <v>427813.37704467773</v>
      </c>
      <c r="K21" s="4">
        <f t="shared" si="1"/>
        <v>7245.6229553222656</v>
      </c>
    </row>
    <row r="22" spans="1:11" x14ac:dyDescent="0.2">
      <c r="A22">
        <v>2023</v>
      </c>
      <c r="B22" t="s">
        <v>3</v>
      </c>
      <c r="C22" s="2">
        <v>484507</v>
      </c>
      <c r="D22" s="4">
        <f t="shared" si="4"/>
        <v>441358</v>
      </c>
      <c r="E22" s="11">
        <f t="shared" si="5"/>
        <v>43149</v>
      </c>
      <c r="F22" s="4">
        <f t="shared" si="6"/>
        <v>387979.5</v>
      </c>
      <c r="G22" s="4">
        <f t="shared" si="7"/>
        <v>96527.5</v>
      </c>
      <c r="H22" s="4">
        <f t="shared" si="2"/>
        <v>399138.5812239818</v>
      </c>
      <c r="I22" s="4">
        <f t="shared" si="0"/>
        <v>85368.418776018196</v>
      </c>
      <c r="J22" s="4">
        <f t="shared" si="3"/>
        <v>431436.18852233887</v>
      </c>
      <c r="K22" s="4">
        <f t="shared" si="1"/>
        <v>53070.811477661133</v>
      </c>
    </row>
    <row r="23" spans="1:11" x14ac:dyDescent="0.2">
      <c r="A23">
        <v>2024</v>
      </c>
      <c r="B23" t="s">
        <v>0</v>
      </c>
      <c r="C23" s="2">
        <v>386810</v>
      </c>
      <c r="D23" s="4">
        <f t="shared" si="4"/>
        <v>461902</v>
      </c>
      <c r="E23" s="11">
        <f t="shared" si="5"/>
        <v>75092</v>
      </c>
      <c r="F23" s="4">
        <f t="shared" si="6"/>
        <v>426281.5</v>
      </c>
      <c r="G23" s="4">
        <f t="shared" si="7"/>
        <v>39471.5</v>
      </c>
      <c r="H23" s="4">
        <f t="shared" si="2"/>
        <v>424749.10685678723</v>
      </c>
      <c r="I23" s="4">
        <f t="shared" si="0"/>
        <v>37939.106856787228</v>
      </c>
      <c r="J23" s="4">
        <f t="shared" si="3"/>
        <v>457971.59426116943</v>
      </c>
      <c r="K23" s="4">
        <f t="shared" si="1"/>
        <v>71161.594261169434</v>
      </c>
    </row>
    <row r="24" spans="1:11" x14ac:dyDescent="0.2">
      <c r="A24">
        <v>2024</v>
      </c>
      <c r="B24" t="s">
        <v>1</v>
      </c>
      <c r="C24" s="2">
        <v>443956</v>
      </c>
      <c r="D24" s="4">
        <f t="shared" si="4"/>
        <v>435458.66666666669</v>
      </c>
      <c r="E24" s="11">
        <f t="shared" si="5"/>
        <v>8497.3333333333139</v>
      </c>
      <c r="F24" s="4">
        <f t="shared" si="6"/>
        <v>433444.83333333331</v>
      </c>
      <c r="G24" s="4">
        <f t="shared" si="7"/>
        <v>10511.166666666686</v>
      </c>
      <c r="H24" s="4">
        <f t="shared" si="2"/>
        <v>413367.37479975104</v>
      </c>
      <c r="I24" s="4">
        <f t="shared" si="0"/>
        <v>30588.625200248964</v>
      </c>
      <c r="J24" s="4">
        <f t="shared" si="3"/>
        <v>422390.79713058472</v>
      </c>
      <c r="K24" s="4">
        <f t="shared" si="1"/>
        <v>21565.202869415283</v>
      </c>
    </row>
    <row r="25" spans="1:11" x14ac:dyDescent="0.2">
      <c r="A25">
        <v>2024</v>
      </c>
      <c r="B25" t="s">
        <v>2</v>
      </c>
      <c r="C25" s="2">
        <v>462890</v>
      </c>
      <c r="D25" s="4">
        <f t="shared" si="4"/>
        <v>438424.33333333331</v>
      </c>
      <c r="E25" s="11">
        <f t="shared" si="5"/>
        <v>24465.666666666686</v>
      </c>
      <c r="F25" s="4">
        <f t="shared" si="6"/>
        <v>439891.16666666669</v>
      </c>
      <c r="G25" s="4">
        <f t="shared" si="7"/>
        <v>22998.833333333314</v>
      </c>
      <c r="H25" s="4">
        <f t="shared" si="2"/>
        <v>422543.96235982567</v>
      </c>
      <c r="I25" s="4">
        <f t="shared" si="0"/>
        <v>40346.037640174327</v>
      </c>
      <c r="J25" s="4">
        <f t="shared" si="3"/>
        <v>433173.39856529236</v>
      </c>
      <c r="K25" s="4">
        <f t="shared" si="1"/>
        <v>29716.601434707642</v>
      </c>
    </row>
    <row r="26" spans="1:11" x14ac:dyDescent="0.2">
      <c r="A26">
        <v>2024</v>
      </c>
      <c r="B26" t="s">
        <v>3</v>
      </c>
      <c r="C26" s="2">
        <v>495570</v>
      </c>
      <c r="D26" s="4">
        <f t="shared" si="4"/>
        <v>431218.66666666669</v>
      </c>
      <c r="E26" s="11">
        <f t="shared" si="5"/>
        <v>64351.333333333314</v>
      </c>
      <c r="F26" s="4">
        <f t="shared" si="6"/>
        <v>446560.33333333331</v>
      </c>
      <c r="G26" s="4">
        <f t="shared" si="7"/>
        <v>49009.666666666686</v>
      </c>
      <c r="H26" s="4">
        <f t="shared" si="2"/>
        <v>434647.77365187794</v>
      </c>
      <c r="I26" s="4">
        <f t="shared" si="0"/>
        <v>60922.226348122058</v>
      </c>
      <c r="J26" s="4">
        <f t="shared" si="3"/>
        <v>448031.69928264618</v>
      </c>
      <c r="K26" s="4">
        <f t="shared" si="1"/>
        <v>47538.300717353821</v>
      </c>
    </row>
    <row r="27" spans="1:11" x14ac:dyDescent="0.2">
      <c r="A27">
        <v>2025</v>
      </c>
      <c r="B27" t="s">
        <v>0</v>
      </c>
      <c r="C27" s="2">
        <v>336681</v>
      </c>
      <c r="D27" s="4">
        <f t="shared" si="4"/>
        <v>467472</v>
      </c>
      <c r="E27" s="11">
        <f t="shared" si="5"/>
        <v>130791</v>
      </c>
      <c r="F27" s="4">
        <f t="shared" si="6"/>
        <v>451465.33333333331</v>
      </c>
      <c r="G27" s="4">
        <f t="shared" si="7"/>
        <v>114784.33333333331</v>
      </c>
      <c r="H27" s="4">
        <f t="shared" si="2"/>
        <v>452924.44155631453</v>
      </c>
      <c r="I27" s="4">
        <f t="shared" si="0"/>
        <v>116243.44155631453</v>
      </c>
      <c r="J27" s="4">
        <f t="shared" si="3"/>
        <v>471800.84964132309</v>
      </c>
      <c r="K27" s="4">
        <f t="shared" si="1"/>
        <v>135119.84964132309</v>
      </c>
    </row>
    <row r="28" spans="1:11" ht="18" customHeight="1" x14ac:dyDescent="0.2">
      <c r="A28">
        <v>2025</v>
      </c>
      <c r="B28" t="s">
        <v>1</v>
      </c>
      <c r="C28" s="2">
        <v>384122</v>
      </c>
      <c r="D28" s="4">
        <f t="shared" si="4"/>
        <v>431713.66666666669</v>
      </c>
      <c r="E28" s="11">
        <f t="shared" si="5"/>
        <v>47591.666666666686</v>
      </c>
      <c r="F28" s="4">
        <f t="shared" si="6"/>
        <v>435069</v>
      </c>
      <c r="G28" s="4">
        <f t="shared" si="7"/>
        <v>50947</v>
      </c>
      <c r="H28" s="4">
        <f t="shared" si="2"/>
        <v>418051.40908942017</v>
      </c>
      <c r="I28" s="4">
        <f t="shared" si="0"/>
        <v>33929.409089420165</v>
      </c>
      <c r="J28" s="4">
        <f t="shared" si="3"/>
        <v>404240.92482066154</v>
      </c>
      <c r="K28" s="4">
        <f t="shared" si="1"/>
        <v>20118.924820661545</v>
      </c>
    </row>
    <row r="29" spans="1:11" x14ac:dyDescent="0.2">
      <c r="A29">
        <v>2025</v>
      </c>
      <c r="B29" t="s">
        <v>2</v>
      </c>
      <c r="C29" s="2">
        <v>497099</v>
      </c>
      <c r="D29" s="4">
        <f t="shared" si="4"/>
        <v>405457.66666666669</v>
      </c>
      <c r="E29" s="11">
        <f t="shared" si="5"/>
        <v>91641.333333333314</v>
      </c>
      <c r="F29" s="4">
        <f t="shared" si="6"/>
        <v>418338.16666666669</v>
      </c>
      <c r="G29" s="4">
        <f t="shared" si="7"/>
        <v>78760.833333333314</v>
      </c>
      <c r="H29" s="4">
        <f t="shared" si="2"/>
        <v>407872.5863625941</v>
      </c>
      <c r="I29" s="4">
        <f t="shared" si="0"/>
        <v>89226.413637405902</v>
      </c>
      <c r="J29" s="4">
        <f t="shared" si="3"/>
        <v>394181.46241033077</v>
      </c>
      <c r="K29" s="4">
        <f t="shared" si="1"/>
        <v>102917.53758966923</v>
      </c>
    </row>
    <row r="30" spans="1:11" x14ac:dyDescent="0.2">
      <c r="A30">
        <v>2025</v>
      </c>
      <c r="B30" t="s">
        <v>3</v>
      </c>
      <c r="C30" s="2">
        <v>418227</v>
      </c>
      <c r="D30" s="4">
        <f t="shared" si="4"/>
        <v>405967.33333333331</v>
      </c>
      <c r="E30" s="11">
        <f t="shared" si="5"/>
        <v>12259.666666666686</v>
      </c>
      <c r="F30" s="4">
        <f t="shared" si="6"/>
        <v>436719.66666666669</v>
      </c>
      <c r="G30" s="4">
        <f t="shared" si="7"/>
        <v>18492.666666666686</v>
      </c>
      <c r="H30" s="4">
        <f t="shared" si="2"/>
        <v>434640.5104538158</v>
      </c>
      <c r="I30" s="4">
        <f t="shared" si="0"/>
        <v>16413.510453815805</v>
      </c>
      <c r="J30" s="4">
        <f t="shared" si="3"/>
        <v>445640.23120516539</v>
      </c>
      <c r="K30" s="4">
        <f t="shared" si="1"/>
        <v>27413.231205165386</v>
      </c>
    </row>
    <row r="31" spans="1:11" x14ac:dyDescent="0.2">
      <c r="A31" s="3">
        <v>2026</v>
      </c>
      <c r="B31" s="3" t="s">
        <v>0</v>
      </c>
      <c r="C31" s="3" t="s">
        <v>12</v>
      </c>
      <c r="D31" s="4">
        <f>AVERAGE(C28:C30)</f>
        <v>433149.33333333331</v>
      </c>
      <c r="F31" s="4">
        <f>AVERAGE(C25:C30)</f>
        <v>432431.5</v>
      </c>
      <c r="H31" s="4">
        <f>H1*C30+(1-H1)*H30</f>
        <v>429716.45731767104</v>
      </c>
      <c r="J31" s="4">
        <f>J1*C30+(1-J1)*J30</f>
        <v>431933.61560258269</v>
      </c>
    </row>
    <row r="33" spans="4:11" x14ac:dyDescent="0.2">
      <c r="D33" s="7" t="s">
        <v>13</v>
      </c>
      <c r="E33" s="4">
        <f>AVERAGE(E6:E30)</f>
        <v>52401</v>
      </c>
      <c r="F33" s="7" t="s">
        <v>14</v>
      </c>
      <c r="G33" s="4">
        <f>AVERAGE(G9:G30)</f>
        <v>73495.939393939392</v>
      </c>
      <c r="H33" s="7" t="s">
        <v>15</v>
      </c>
      <c r="I33" s="4">
        <f>AVERAGE(I3:I30)</f>
        <v>60716.493591540013</v>
      </c>
      <c r="J33" s="7" t="s">
        <v>16</v>
      </c>
      <c r="K33" s="4">
        <f>AVERAGE(K4:K30)</f>
        <v>49613.298589673308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timilehin</dc:creator>
  <cp:lastModifiedBy>feranmi timilehin</cp:lastModifiedBy>
  <dcterms:created xsi:type="dcterms:W3CDTF">2026-02-22T23:58:18Z</dcterms:created>
  <dcterms:modified xsi:type="dcterms:W3CDTF">2026-02-23T01:57:42Z</dcterms:modified>
</cp:coreProperties>
</file>