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cheri\Insync Google Drive\Office 365 A Skills Approach 2019 book\Excel 365_2019\Excel Ch 1\EX1 LMTs\"/>
    </mc:Choice>
  </mc:AlternateContent>
  <xr:revisionPtr revIDLastSave="0" documentId="8_{D6DEF8C9-63AB-49F6-8A18-2A4CBFA80145}" xr6:coauthVersionLast="36" xr6:coauthVersionMax="36" xr10:uidLastSave="{00000000-0000-0000-0000-000000000000}"/>
  <bookViews>
    <workbookView xWindow="0" yWindow="0" windowWidth="19200" windowHeight="7020" xr2:uid="{00000000-000D-0000-FFFF-FFFF00000000}"/>
  </bookViews>
  <sheets>
    <sheet name="Jan-Jun" sheetId="5" r:id="rId1"/>
    <sheet name="Jul-Dec" sheetId="1" r:id="rId2"/>
    <sheet name="Prices" sheetId="8" r:id="rId3"/>
    <sheet name="Purchases" sheetId="7" r:id="rId4"/>
  </sheets>
  <externalReferences>
    <externalReference r:id="rId5"/>
  </externalReferences>
  <definedNames>
    <definedName name="Inventory">'[1]Inventory List'!$A$2:$F$106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7" i="5" l="1"/>
  <c r="F17" i="5"/>
  <c r="E17" i="5"/>
  <c r="D17" i="5"/>
  <c r="C17" i="5"/>
  <c r="C6" i="5" l="1"/>
  <c r="C18" i="5" s="1"/>
  <c r="D6" i="5"/>
  <c r="D18" i="5" s="1"/>
  <c r="E6" i="5"/>
  <c r="E18" i="5" s="1"/>
  <c r="F6" i="5"/>
  <c r="F18" i="5" s="1"/>
  <c r="G6" i="5"/>
  <c r="G18" i="5" s="1"/>
  <c r="B6" i="5"/>
  <c r="B18" i="5" s="1"/>
  <c r="C11" i="5"/>
  <c r="C15" i="5" s="1"/>
  <c r="D11" i="5"/>
  <c r="D15" i="5" s="1"/>
  <c r="E11" i="5"/>
  <c r="E15" i="5" s="1"/>
  <c r="F11" i="5"/>
  <c r="F15" i="5" s="1"/>
  <c r="G11" i="5"/>
  <c r="G15" i="5" s="1"/>
  <c r="B11" i="5"/>
  <c r="B15" i="5" s="1"/>
</calcChain>
</file>

<file path=xl/sharedStrings.xml><?xml version="1.0" encoding="utf-8"?>
<sst xmlns="http://schemas.openxmlformats.org/spreadsheetml/2006/main" count="77" uniqueCount="54">
  <si>
    <t>MAY</t>
  </si>
  <si>
    <t>Income and Expenses</t>
  </si>
  <si>
    <t>INCOME</t>
  </si>
  <si>
    <t>EXPENSES</t>
  </si>
  <si>
    <t>Rent</t>
  </si>
  <si>
    <t>Advertising</t>
  </si>
  <si>
    <t>Cost of Goods</t>
  </si>
  <si>
    <t>Payroll</t>
  </si>
  <si>
    <t>Services</t>
  </si>
  <si>
    <t>Merchandise Sales</t>
  </si>
  <si>
    <t>Gift Certificate Sales</t>
  </si>
  <si>
    <t>Other Expenses</t>
  </si>
  <si>
    <t>Taxes</t>
  </si>
  <si>
    <t>JANUARY</t>
  </si>
  <si>
    <t>MARCH</t>
  </si>
  <si>
    <t>APRIL</t>
  </si>
  <si>
    <t>JUNE</t>
  </si>
  <si>
    <t>Item ID</t>
  </si>
  <si>
    <t>Item</t>
  </si>
  <si>
    <t>Unit Price</t>
  </si>
  <si>
    <t>Bronzing gel</t>
  </si>
  <si>
    <t>Bronzing powder</t>
  </si>
  <si>
    <t>DermoMagic 8 oz</t>
  </si>
  <si>
    <t>DermoMagic 16 oz</t>
  </si>
  <si>
    <t>DermoMagic 24 oz</t>
  </si>
  <si>
    <t>Hair Tint -- color 01</t>
  </si>
  <si>
    <t>Hair Tint -- color 02</t>
  </si>
  <si>
    <t>Hair Tint -- color 03</t>
  </si>
  <si>
    <t>Hair Tint -- color 04</t>
  </si>
  <si>
    <t>Hair Tint -- color 05</t>
  </si>
  <si>
    <t>Hair Tint -- color 06</t>
  </si>
  <si>
    <t>Hair Tint -- color 07</t>
  </si>
  <si>
    <t>Hair Tint -- color 08</t>
  </si>
  <si>
    <t>Hair Tint -- color 09</t>
  </si>
  <si>
    <t>ColorFab Color 001</t>
  </si>
  <si>
    <t>ColorFab Color 005</t>
  </si>
  <si>
    <t>ColorFab Color 006</t>
  </si>
  <si>
    <t>ColorFab Color 007</t>
  </si>
  <si>
    <t>ColorFab Color 008</t>
  </si>
  <si>
    <t>ColorFab Color 014</t>
  </si>
  <si>
    <t>ColorFab Color 015</t>
  </si>
  <si>
    <t>Order Date</t>
  </si>
  <si>
    <t>PO1104009</t>
  </si>
  <si>
    <t>PO1104001</t>
  </si>
  <si>
    <t>PO1104005</t>
  </si>
  <si>
    <t>Quantity</t>
  </si>
  <si>
    <t>Order #</t>
  </si>
  <si>
    <t>Cash on Hand 
(beginning of month)</t>
  </si>
  <si>
    <t>Income</t>
  </si>
  <si>
    <t>Expenses</t>
  </si>
  <si>
    <t xml:space="preserve">Total Cash Available </t>
  </si>
  <si>
    <t>Investor Payout</t>
  </si>
  <si>
    <t>Investor percentage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</si>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</sst>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F800]dddd\,\ mmmm\ dd\,\ yyyy"/>
    <numFmt numFmtId="166" formatCode="[$-409]d\-m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1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44" fontId="7" fillId="0" borderId="0" applyFont="0" applyFill="0" applyBorder="0" applyAlignment="0" applyProtection="0"/>
    <xf numFmtId="0" fontId="11" fillId="0" borderId="0"/>
  </cellStyleXfs>
  <cellXfs count="38">
    <xf numFmtId="0" fontId="0" fillId="0" borderId="0" xfId="0"/>
    <xf numFmtId="0" fontId="6" fillId="0" borderId="0" xfId="0" applyFont="1"/>
    <xf numFmtId="0" fontId="0" fillId="0" borderId="0" xfId="0" applyAlignment="1">
      <alignment horizontal="left" textRotation="45"/>
    </xf>
    <xf numFmtId="0" fontId="0" fillId="0" borderId="0" xfId="0" applyAlignment="1">
      <alignment textRotation="45"/>
    </xf>
    <xf numFmtId="0" fontId="0" fillId="0" borderId="0" xfId="0" applyAlignment="1">
      <alignment horizontal="left" indent="2"/>
    </xf>
    <xf numFmtId="164" fontId="0" fillId="0" borderId="0" xfId="3" applyNumberFormat="1" applyFont="1"/>
    <xf numFmtId="164" fontId="4" fillId="0" borderId="1" xfId="5" applyNumberFormat="1"/>
    <xf numFmtId="164" fontId="6" fillId="0" borderId="0" xfId="3" applyNumberFormat="1" applyFont="1"/>
    <xf numFmtId="0" fontId="7" fillId="0" borderId="0" xfId="0" applyFont="1" applyAlignment="1">
      <alignment horizontal="left" indent="2"/>
    </xf>
    <xf numFmtId="0" fontId="0" fillId="0" borderId="0" xfId="1" applyNumberFormat="1" applyFont="1"/>
    <xf numFmtId="0" fontId="0" fillId="0" borderId="0" xfId="2" applyNumberFormat="1" applyFont="1"/>
    <xf numFmtId="0" fontId="0" fillId="0" borderId="0" xfId="1" applyNumberFormat="1" applyFont="1" applyBorder="1"/>
    <xf numFmtId="0" fontId="2" fillId="0" borderId="0" xfId="4" applyAlignment="1"/>
    <xf numFmtId="0" fontId="4" fillId="0" borderId="0" xfId="0" applyFont="1" applyAlignment="1">
      <alignment horizontal="left"/>
    </xf>
    <xf numFmtId="164" fontId="0" fillId="0" borderId="0" xfId="3" applyNumberFormat="1" applyFont="1" applyBorder="1"/>
    <xf numFmtId="0" fontId="0" fillId="0" borderId="0" xfId="0" applyFont="1"/>
    <xf numFmtId="0" fontId="0" fillId="0" borderId="0" xfId="0" applyNumberFormat="1" applyFont="1"/>
    <xf numFmtId="0" fontId="0" fillId="0" borderId="0" xfId="0" applyFont="1" applyFill="1" applyBorder="1"/>
    <xf numFmtId="0" fontId="0" fillId="0" borderId="0" xfId="3" applyNumberFormat="1" applyFont="1" applyFill="1" applyBorder="1"/>
    <xf numFmtId="0" fontId="3" fillId="2" borderId="0" xfId="6" applyFont="1" applyBorder="1" applyAlignment="1">
      <alignment wrapText="1"/>
    </xf>
    <xf numFmtId="0" fontId="3" fillId="2" borderId="0" xfId="6" applyNumberFormat="1" applyFont="1" applyBorder="1" applyAlignment="1">
      <alignment wrapText="1"/>
    </xf>
    <xf numFmtId="0" fontId="0" fillId="0" borderId="0" xfId="0" applyBorder="1"/>
    <xf numFmtId="0" fontId="8" fillId="0" borderId="0" xfId="0" applyFont="1" applyBorder="1"/>
    <xf numFmtId="14" fontId="8" fillId="0" borderId="0" xfId="0" applyNumberFormat="1" applyFont="1" applyBorder="1"/>
    <xf numFmtId="14" fontId="3" fillId="3" borderId="0" xfId="7" applyNumberFormat="1" applyFont="1" applyBorder="1"/>
    <xf numFmtId="0" fontId="3" fillId="3" borderId="0" xfId="7" applyFont="1" applyBorder="1"/>
    <xf numFmtId="165" fontId="8" fillId="0" borderId="0" xfId="0" applyNumberFormat="1" applyFont="1" applyBorder="1"/>
    <xf numFmtId="166" fontId="8" fillId="0" borderId="0" xfId="0" applyNumberFormat="1" applyFont="1" applyBorder="1"/>
    <xf numFmtId="0" fontId="4" fillId="0" borderId="0" xfId="8" applyFont="1" applyFill="1" applyBorder="1" applyAlignment="1">
      <alignment wrapText="1"/>
    </xf>
    <xf numFmtId="0" fontId="0" fillId="0" borderId="0" xfId="8" applyFont="1" applyFill="1" applyBorder="1" applyAlignment="1">
      <alignment wrapText="1"/>
    </xf>
    <xf numFmtId="0" fontId="0" fillId="0" borderId="0" xfId="8" applyFont="1" applyFill="1" applyBorder="1" applyAlignment="1"/>
    <xf numFmtId="0" fontId="4" fillId="0" borderId="0" xfId="5" applyFont="1" applyFill="1" applyBorder="1" applyAlignment="1">
      <alignment wrapText="1"/>
    </xf>
    <xf numFmtId="0" fontId="9" fillId="0" borderId="0" xfId="8" applyFont="1" applyFill="1" applyBorder="1" applyAlignment="1"/>
    <xf numFmtId="44" fontId="10" fillId="0" borderId="2" xfId="9" applyNumberFormat="1" applyFont="1" applyBorder="1"/>
    <xf numFmtId="164" fontId="10" fillId="0" borderId="2" xfId="9" applyNumberFormat="1" applyFont="1" applyBorder="1"/>
    <xf numFmtId="0" fontId="10" fillId="0" borderId="3" xfId="10" applyFont="1" applyBorder="1"/>
    <xf numFmtId="9" fontId="12" fillId="5" borderId="4" xfId="10" applyNumberFormat="1" applyFont="1" applyFill="1" applyBorder="1"/>
    <xf numFmtId="0" fontId="4" fillId="0" borderId="0" xfId="0" applyFont="1"/>
  </cellXfs>
  <cellStyles count="11">
    <cellStyle name="20% - Accent6" xfId="8" builtinId="50"/>
    <cellStyle name="Accent3" xfId="6" builtinId="37"/>
    <cellStyle name="Accent5" xfId="7" builtinId="45"/>
    <cellStyle name="Comma" xfId="1" builtinId="3"/>
    <cellStyle name="Comma [0]" xfId="2" builtinId="6"/>
    <cellStyle name="Currency" xfId="3" builtinId="4"/>
    <cellStyle name="Currency 2" xfId="9" xr:uid="{00000000-0005-0000-0000-000006000000}"/>
    <cellStyle name="Normal" xfId="0" builtinId="0"/>
    <cellStyle name="Normal 2" xfId="10" xr:uid="{00000000-0005-0000-0000-000008000000}"/>
    <cellStyle name="Title" xfId="4" builtinId="15"/>
    <cellStyle name="Total" xfId="5" builtinId="25"/>
  </cellStyles>
  <dxfs count="3">
    <dxf>
      <font>
        <b/>
        <i val="0"/>
        <color rgb="FFFF0000"/>
      </font>
    </dxf>
    <dxf>
      <font>
        <color rgb="FFFFC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/Google%20Drive/Excel%202013/Excel%20Ch%205/Excel%20Ch%205%20LMT/EX5-16-PurchaseOrders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List"/>
      <sheetName val="PO July"/>
      <sheetName val="PO June"/>
    </sheetNames>
    <sheetDataSet>
      <sheetData sheetId="0">
        <row r="2">
          <cell r="A2">
            <v>1001</v>
          </cell>
          <cell r="B2" t="str">
            <v>Bronzing gel</v>
          </cell>
          <cell r="C2">
            <v>15</v>
          </cell>
          <cell r="D2">
            <v>2</v>
          </cell>
          <cell r="E2">
            <v>10</v>
          </cell>
          <cell r="F2">
            <v>14</v>
          </cell>
        </row>
        <row r="3">
          <cell r="A3">
            <v>1002</v>
          </cell>
          <cell r="B3" t="str">
            <v>Bronzing powder</v>
          </cell>
          <cell r="C3">
            <v>25</v>
          </cell>
          <cell r="D3">
            <v>4</v>
          </cell>
          <cell r="E3">
            <v>10</v>
          </cell>
          <cell r="F3">
            <v>14</v>
          </cell>
        </row>
        <row r="4">
          <cell r="A4">
            <v>1003</v>
          </cell>
          <cell r="B4" t="str">
            <v>Bronzing blush</v>
          </cell>
          <cell r="C4">
            <v>14</v>
          </cell>
          <cell r="D4">
            <v>1</v>
          </cell>
          <cell r="E4">
            <v>10</v>
          </cell>
          <cell r="F4">
            <v>14</v>
          </cell>
        </row>
        <row r="5">
          <cell r="A5">
            <v>1004</v>
          </cell>
          <cell r="B5" t="str">
            <v>Cuticle remover</v>
          </cell>
          <cell r="C5">
            <v>10</v>
          </cell>
          <cell r="D5">
            <v>13</v>
          </cell>
          <cell r="E5">
            <v>10</v>
          </cell>
          <cell r="F5">
            <v>14</v>
          </cell>
        </row>
        <row r="6">
          <cell r="A6">
            <v>1005</v>
          </cell>
          <cell r="B6" t="str">
            <v>Cuticle conditioner</v>
          </cell>
          <cell r="C6">
            <v>13</v>
          </cell>
          <cell r="D6">
            <v>29</v>
          </cell>
          <cell r="E6">
            <v>10</v>
          </cell>
          <cell r="F6">
            <v>14</v>
          </cell>
        </row>
        <row r="7">
          <cell r="A7">
            <v>1006</v>
          </cell>
          <cell r="B7" t="str">
            <v>Conditioning spray</v>
          </cell>
          <cell r="C7">
            <v>17</v>
          </cell>
          <cell r="D7">
            <v>24</v>
          </cell>
          <cell r="E7">
            <v>10</v>
          </cell>
          <cell r="F7">
            <v>14</v>
          </cell>
        </row>
        <row r="8">
          <cell r="A8">
            <v>1007</v>
          </cell>
          <cell r="B8" t="str">
            <v>DermoMagic 8 oz</v>
          </cell>
          <cell r="C8">
            <v>10</v>
          </cell>
          <cell r="D8">
            <v>17</v>
          </cell>
          <cell r="E8">
            <v>10</v>
          </cell>
          <cell r="F8">
            <v>21</v>
          </cell>
        </row>
        <row r="9">
          <cell r="A9">
            <v>1008</v>
          </cell>
          <cell r="B9" t="str">
            <v>DermoMagic 16 oz</v>
          </cell>
          <cell r="C9">
            <v>15</v>
          </cell>
          <cell r="D9">
            <v>20</v>
          </cell>
          <cell r="E9">
            <v>10</v>
          </cell>
          <cell r="F9">
            <v>21</v>
          </cell>
        </row>
        <row r="10">
          <cell r="A10">
            <v>1009</v>
          </cell>
          <cell r="B10" t="str">
            <v>DermoMagic 24 oz</v>
          </cell>
          <cell r="C10">
            <v>25</v>
          </cell>
          <cell r="D10">
            <v>15</v>
          </cell>
          <cell r="E10">
            <v>10</v>
          </cell>
          <cell r="F10">
            <v>21</v>
          </cell>
        </row>
        <row r="11">
          <cell r="A11">
            <v>1010</v>
          </cell>
          <cell r="B11" t="str">
            <v>DermoMagic samples</v>
          </cell>
          <cell r="C11">
            <v>30</v>
          </cell>
          <cell r="D11">
            <v>22</v>
          </cell>
          <cell r="E11">
            <v>10</v>
          </cell>
          <cell r="F11">
            <v>21</v>
          </cell>
        </row>
        <row r="12">
          <cell r="A12">
            <v>1011</v>
          </cell>
          <cell r="B12" t="str">
            <v>Hair Tint -- color 01</v>
          </cell>
          <cell r="C12">
            <v>12</v>
          </cell>
          <cell r="D12">
            <v>7</v>
          </cell>
          <cell r="E12">
            <v>4</v>
          </cell>
          <cell r="F12">
            <v>7</v>
          </cell>
        </row>
        <row r="13">
          <cell r="A13">
            <v>1012</v>
          </cell>
          <cell r="B13" t="str">
            <v>Hair Tint -- color 02</v>
          </cell>
          <cell r="C13">
            <v>12</v>
          </cell>
          <cell r="D13">
            <v>24</v>
          </cell>
          <cell r="E13">
            <v>4</v>
          </cell>
          <cell r="F13">
            <v>7</v>
          </cell>
        </row>
        <row r="14">
          <cell r="A14">
            <v>1013</v>
          </cell>
          <cell r="B14" t="str">
            <v>Hair Tint -- color 03</v>
          </cell>
          <cell r="C14">
            <v>12</v>
          </cell>
          <cell r="D14">
            <v>25</v>
          </cell>
          <cell r="E14">
            <v>4</v>
          </cell>
          <cell r="F14">
            <v>7</v>
          </cell>
        </row>
        <row r="15">
          <cell r="A15">
            <v>1014</v>
          </cell>
          <cell r="B15" t="str">
            <v>Hair Tint -- color 04</v>
          </cell>
          <cell r="C15">
            <v>12</v>
          </cell>
          <cell r="D15">
            <v>29</v>
          </cell>
          <cell r="E15">
            <v>4</v>
          </cell>
          <cell r="F15">
            <v>7</v>
          </cell>
        </row>
        <row r="16">
          <cell r="A16">
            <v>1015</v>
          </cell>
          <cell r="B16" t="str">
            <v>Hair Tint -- color 05</v>
          </cell>
          <cell r="C16">
            <v>12</v>
          </cell>
          <cell r="D16">
            <v>15</v>
          </cell>
          <cell r="E16">
            <v>4</v>
          </cell>
          <cell r="F16">
            <v>7</v>
          </cell>
        </row>
        <row r="17">
          <cell r="A17">
            <v>1016</v>
          </cell>
          <cell r="B17" t="str">
            <v>Hair Tint -- color 06</v>
          </cell>
          <cell r="C17">
            <v>12</v>
          </cell>
          <cell r="D17">
            <v>10</v>
          </cell>
          <cell r="E17">
            <v>4</v>
          </cell>
          <cell r="F17">
            <v>7</v>
          </cell>
        </row>
        <row r="18">
          <cell r="A18">
            <v>1017</v>
          </cell>
          <cell r="B18" t="str">
            <v>Hair Tint -- color 07</v>
          </cell>
          <cell r="C18">
            <v>12</v>
          </cell>
          <cell r="D18">
            <v>15</v>
          </cell>
          <cell r="E18">
            <v>4</v>
          </cell>
          <cell r="F18">
            <v>7</v>
          </cell>
        </row>
        <row r="19">
          <cell r="A19">
            <v>1018</v>
          </cell>
          <cell r="B19" t="str">
            <v>Hair Tint -- color 08</v>
          </cell>
          <cell r="C19">
            <v>12</v>
          </cell>
          <cell r="D19">
            <v>6</v>
          </cell>
          <cell r="E19">
            <v>4</v>
          </cell>
          <cell r="F19">
            <v>7</v>
          </cell>
        </row>
        <row r="20">
          <cell r="A20">
            <v>1019</v>
          </cell>
          <cell r="B20" t="str">
            <v>Hair Tint -- color 09</v>
          </cell>
          <cell r="C20">
            <v>12</v>
          </cell>
          <cell r="D20">
            <v>16</v>
          </cell>
          <cell r="E20">
            <v>4</v>
          </cell>
          <cell r="F20">
            <v>7</v>
          </cell>
        </row>
        <row r="21">
          <cell r="A21">
            <v>1020</v>
          </cell>
          <cell r="B21" t="str">
            <v>Gloves -- 100 pk</v>
          </cell>
          <cell r="C21">
            <v>20</v>
          </cell>
          <cell r="D21">
            <v>15</v>
          </cell>
          <cell r="E21">
            <v>1</v>
          </cell>
          <cell r="F21">
            <v>5</v>
          </cell>
        </row>
        <row r="22">
          <cell r="A22">
            <v>1021</v>
          </cell>
          <cell r="B22" t="str">
            <v>Caps -- 100 pk</v>
          </cell>
          <cell r="C22">
            <v>19</v>
          </cell>
          <cell r="D22">
            <v>10</v>
          </cell>
          <cell r="E22">
            <v>1</v>
          </cell>
          <cell r="F22">
            <v>5</v>
          </cell>
        </row>
        <row r="23">
          <cell r="A23">
            <v>1022</v>
          </cell>
          <cell r="B23" t="str">
            <v>Brush style 120</v>
          </cell>
          <cell r="C23">
            <v>21</v>
          </cell>
          <cell r="D23">
            <v>25</v>
          </cell>
          <cell r="E23">
            <v>2</v>
          </cell>
          <cell r="F23">
            <v>5</v>
          </cell>
        </row>
        <row r="24">
          <cell r="A24">
            <v>1023</v>
          </cell>
          <cell r="B24" t="str">
            <v>Brush style 121</v>
          </cell>
          <cell r="C24">
            <v>16</v>
          </cell>
          <cell r="D24">
            <v>7</v>
          </cell>
          <cell r="E24">
            <v>2</v>
          </cell>
          <cell r="F24">
            <v>5</v>
          </cell>
        </row>
        <row r="25">
          <cell r="A25">
            <v>1024</v>
          </cell>
          <cell r="B25" t="str">
            <v>Brush style 122</v>
          </cell>
          <cell r="C25">
            <v>14</v>
          </cell>
          <cell r="D25">
            <v>10</v>
          </cell>
          <cell r="E25">
            <v>2</v>
          </cell>
          <cell r="F25">
            <v>5</v>
          </cell>
        </row>
        <row r="26">
          <cell r="A26">
            <v>1025</v>
          </cell>
          <cell r="B26" t="str">
            <v>Brush style 123</v>
          </cell>
          <cell r="C26">
            <v>24</v>
          </cell>
          <cell r="D26">
            <v>9</v>
          </cell>
          <cell r="E26">
            <v>2</v>
          </cell>
          <cell r="F26">
            <v>5</v>
          </cell>
        </row>
        <row r="27">
          <cell r="A27">
            <v>1026</v>
          </cell>
          <cell r="B27" t="str">
            <v>Glazer 6 oz</v>
          </cell>
          <cell r="C27">
            <v>10</v>
          </cell>
          <cell r="D27">
            <v>18</v>
          </cell>
          <cell r="E27">
            <v>4</v>
          </cell>
          <cell r="F27">
            <v>8</v>
          </cell>
        </row>
        <row r="28">
          <cell r="A28">
            <v>1027</v>
          </cell>
          <cell r="B28" t="str">
            <v>Glazer 8oz</v>
          </cell>
          <cell r="C28">
            <v>11</v>
          </cell>
          <cell r="D28">
            <v>16</v>
          </cell>
          <cell r="E28">
            <v>4</v>
          </cell>
          <cell r="F28">
            <v>8</v>
          </cell>
        </row>
        <row r="29">
          <cell r="A29">
            <v>1028</v>
          </cell>
          <cell r="B29" t="str">
            <v>Glazer 20 oz</v>
          </cell>
          <cell r="C29">
            <v>25</v>
          </cell>
          <cell r="D29">
            <v>21</v>
          </cell>
          <cell r="E29">
            <v>4</v>
          </cell>
          <cell r="F29">
            <v>8</v>
          </cell>
        </row>
        <row r="30">
          <cell r="A30">
            <v>1029</v>
          </cell>
          <cell r="B30" t="str">
            <v>ColorFab Color 001</v>
          </cell>
          <cell r="C30">
            <v>5</v>
          </cell>
          <cell r="D30">
            <v>27</v>
          </cell>
          <cell r="E30">
            <v>6</v>
          </cell>
          <cell r="F30">
            <v>7</v>
          </cell>
        </row>
        <row r="31">
          <cell r="A31">
            <v>1030</v>
          </cell>
          <cell r="B31" t="str">
            <v>ColorFab Color 002</v>
          </cell>
          <cell r="C31">
            <v>5</v>
          </cell>
          <cell r="D31">
            <v>4</v>
          </cell>
          <cell r="E31">
            <v>6</v>
          </cell>
          <cell r="F31">
            <v>7</v>
          </cell>
        </row>
        <row r="32">
          <cell r="A32">
            <v>1031</v>
          </cell>
          <cell r="B32" t="str">
            <v>ColorFab Color 003</v>
          </cell>
          <cell r="C32">
            <v>5</v>
          </cell>
          <cell r="D32">
            <v>17</v>
          </cell>
          <cell r="E32">
            <v>6</v>
          </cell>
          <cell r="F32">
            <v>7</v>
          </cell>
        </row>
        <row r="33">
          <cell r="A33">
            <v>1032</v>
          </cell>
          <cell r="B33" t="str">
            <v>ColorFab Color 004</v>
          </cell>
          <cell r="C33">
            <v>5</v>
          </cell>
          <cell r="D33">
            <v>11</v>
          </cell>
          <cell r="E33">
            <v>6</v>
          </cell>
          <cell r="F33">
            <v>7</v>
          </cell>
        </row>
        <row r="34">
          <cell r="A34">
            <v>1033</v>
          </cell>
          <cell r="B34" t="str">
            <v>ColorFab Color 005</v>
          </cell>
          <cell r="C34">
            <v>5</v>
          </cell>
          <cell r="D34">
            <v>17</v>
          </cell>
          <cell r="E34">
            <v>6</v>
          </cell>
          <cell r="F34">
            <v>7</v>
          </cell>
        </row>
        <row r="35">
          <cell r="A35">
            <v>1034</v>
          </cell>
          <cell r="B35" t="str">
            <v>ColorFab Color 006</v>
          </cell>
          <cell r="C35">
            <v>5</v>
          </cell>
          <cell r="D35">
            <v>10</v>
          </cell>
          <cell r="E35">
            <v>6</v>
          </cell>
          <cell r="F35">
            <v>7</v>
          </cell>
        </row>
        <row r="36">
          <cell r="A36">
            <v>1035</v>
          </cell>
          <cell r="B36" t="str">
            <v>ColorFab Color 007</v>
          </cell>
          <cell r="C36">
            <v>5</v>
          </cell>
          <cell r="E36">
            <v>6</v>
          </cell>
          <cell r="F36">
            <v>7</v>
          </cell>
        </row>
        <row r="37">
          <cell r="A37">
            <v>1036</v>
          </cell>
          <cell r="B37" t="str">
            <v>ColorFab Color 008</v>
          </cell>
          <cell r="C37">
            <v>5</v>
          </cell>
          <cell r="D37">
            <v>16</v>
          </cell>
          <cell r="E37">
            <v>6</v>
          </cell>
          <cell r="F37">
            <v>7</v>
          </cell>
        </row>
        <row r="38">
          <cell r="A38">
            <v>1037</v>
          </cell>
          <cell r="B38" t="str">
            <v>ColorFab Color 009</v>
          </cell>
          <cell r="C38">
            <v>5</v>
          </cell>
          <cell r="D38">
            <v>30</v>
          </cell>
          <cell r="E38">
            <v>6</v>
          </cell>
          <cell r="F38">
            <v>7</v>
          </cell>
        </row>
        <row r="39">
          <cell r="A39">
            <v>1038</v>
          </cell>
          <cell r="B39" t="str">
            <v>ColorFab Color 010</v>
          </cell>
          <cell r="C39">
            <v>5</v>
          </cell>
          <cell r="D39">
            <v>22</v>
          </cell>
          <cell r="E39">
            <v>6</v>
          </cell>
          <cell r="F39">
            <v>7</v>
          </cell>
        </row>
        <row r="40">
          <cell r="A40">
            <v>1039</v>
          </cell>
          <cell r="B40" t="str">
            <v>ColorFab Color 011</v>
          </cell>
          <cell r="C40">
            <v>5</v>
          </cell>
          <cell r="D40">
            <v>14</v>
          </cell>
          <cell r="E40">
            <v>6</v>
          </cell>
          <cell r="F40">
            <v>7</v>
          </cell>
        </row>
        <row r="41">
          <cell r="A41">
            <v>1040</v>
          </cell>
          <cell r="B41" t="str">
            <v>ColorFab Color 012</v>
          </cell>
          <cell r="C41">
            <v>5</v>
          </cell>
          <cell r="D41">
            <v>1</v>
          </cell>
          <cell r="E41">
            <v>6</v>
          </cell>
          <cell r="F41">
            <v>7</v>
          </cell>
        </row>
        <row r="42">
          <cell r="A42">
            <v>1041</v>
          </cell>
          <cell r="B42" t="str">
            <v>ColorFab Color 013</v>
          </cell>
          <cell r="C42">
            <v>5</v>
          </cell>
          <cell r="D42">
            <v>18</v>
          </cell>
          <cell r="E42">
            <v>6</v>
          </cell>
          <cell r="F42">
            <v>7</v>
          </cell>
        </row>
        <row r="43">
          <cell r="A43">
            <v>1042</v>
          </cell>
          <cell r="B43" t="str">
            <v>ColorFab Color 014</v>
          </cell>
          <cell r="C43">
            <v>5</v>
          </cell>
          <cell r="D43">
            <v>11</v>
          </cell>
          <cell r="E43">
            <v>6</v>
          </cell>
          <cell r="F43">
            <v>7</v>
          </cell>
        </row>
        <row r="44">
          <cell r="A44">
            <v>1043</v>
          </cell>
          <cell r="B44" t="str">
            <v>ColorFab Color 015</v>
          </cell>
          <cell r="C44">
            <v>5</v>
          </cell>
          <cell r="D44">
            <v>27</v>
          </cell>
          <cell r="E44">
            <v>6</v>
          </cell>
          <cell r="F44">
            <v>7</v>
          </cell>
        </row>
        <row r="45">
          <cell r="A45">
            <v>1044</v>
          </cell>
          <cell r="B45" t="str">
            <v>ColorFab Color 016</v>
          </cell>
          <cell r="C45">
            <v>5</v>
          </cell>
          <cell r="D45">
            <v>26</v>
          </cell>
          <cell r="E45">
            <v>6</v>
          </cell>
          <cell r="F45">
            <v>7</v>
          </cell>
        </row>
        <row r="46">
          <cell r="A46">
            <v>1045</v>
          </cell>
          <cell r="B46" t="str">
            <v>ColorFab Color 017</v>
          </cell>
          <cell r="C46">
            <v>5</v>
          </cell>
          <cell r="D46">
            <v>30</v>
          </cell>
          <cell r="E46">
            <v>6</v>
          </cell>
          <cell r="F46">
            <v>7</v>
          </cell>
        </row>
        <row r="47">
          <cell r="A47">
            <v>1046</v>
          </cell>
          <cell r="B47" t="str">
            <v>ColorFab Color 018</v>
          </cell>
          <cell r="C47">
            <v>5</v>
          </cell>
          <cell r="D47">
            <v>27</v>
          </cell>
          <cell r="E47">
            <v>6</v>
          </cell>
          <cell r="F47">
            <v>7</v>
          </cell>
        </row>
        <row r="48">
          <cell r="A48">
            <v>1047</v>
          </cell>
          <cell r="B48" t="str">
            <v>ColorFab Color 019</v>
          </cell>
          <cell r="C48">
            <v>5</v>
          </cell>
          <cell r="D48">
            <v>15</v>
          </cell>
          <cell r="E48">
            <v>6</v>
          </cell>
          <cell r="F48">
            <v>7</v>
          </cell>
        </row>
        <row r="49">
          <cell r="A49">
            <v>1048</v>
          </cell>
          <cell r="B49" t="str">
            <v>ColorFab Color 020</v>
          </cell>
          <cell r="C49">
            <v>5</v>
          </cell>
          <cell r="D49">
            <v>13</v>
          </cell>
          <cell r="E49">
            <v>6</v>
          </cell>
          <cell r="F49">
            <v>7</v>
          </cell>
        </row>
        <row r="50">
          <cell r="A50">
            <v>1049</v>
          </cell>
          <cell r="B50" t="str">
            <v>ColorFab Drabber</v>
          </cell>
          <cell r="C50">
            <v>8</v>
          </cell>
          <cell r="D50">
            <v>16</v>
          </cell>
          <cell r="E50">
            <v>6</v>
          </cell>
          <cell r="F50">
            <v>7</v>
          </cell>
        </row>
        <row r="51">
          <cell r="A51">
            <v>1050</v>
          </cell>
          <cell r="B51" t="str">
            <v>ColorFab Booster</v>
          </cell>
          <cell r="C51">
            <v>12</v>
          </cell>
          <cell r="D51">
            <v>18</v>
          </cell>
          <cell r="E51">
            <v>6</v>
          </cell>
          <cell r="F51">
            <v>7</v>
          </cell>
        </row>
        <row r="52">
          <cell r="A52">
            <v>1051</v>
          </cell>
          <cell r="B52" t="str">
            <v>ColorFab 10</v>
          </cell>
          <cell r="C52">
            <v>11</v>
          </cell>
          <cell r="D52">
            <v>8</v>
          </cell>
          <cell r="E52">
            <v>6</v>
          </cell>
          <cell r="F52">
            <v>7</v>
          </cell>
        </row>
        <row r="53">
          <cell r="A53">
            <v>1052</v>
          </cell>
          <cell r="B53" t="str">
            <v>ColorFab 20</v>
          </cell>
          <cell r="C53">
            <v>11</v>
          </cell>
          <cell r="D53">
            <v>14</v>
          </cell>
          <cell r="E53">
            <v>6</v>
          </cell>
          <cell r="F53">
            <v>7</v>
          </cell>
        </row>
        <row r="54">
          <cell r="A54">
            <v>1053</v>
          </cell>
          <cell r="B54" t="str">
            <v>ColorFab 30</v>
          </cell>
          <cell r="C54">
            <v>11</v>
          </cell>
          <cell r="D54">
            <v>5</v>
          </cell>
          <cell r="E54">
            <v>6</v>
          </cell>
          <cell r="F54">
            <v>7</v>
          </cell>
        </row>
        <row r="55">
          <cell r="A55">
            <v>1054</v>
          </cell>
          <cell r="B55" t="str">
            <v>ColorFab 40</v>
          </cell>
          <cell r="C55">
            <v>11</v>
          </cell>
          <cell r="D55">
            <v>16</v>
          </cell>
          <cell r="E55">
            <v>6</v>
          </cell>
          <cell r="F55">
            <v>7</v>
          </cell>
        </row>
        <row r="56">
          <cell r="A56">
            <v>1055</v>
          </cell>
          <cell r="B56" t="str">
            <v>NailMagic Color 01</v>
          </cell>
          <cell r="C56">
            <v>4.25</v>
          </cell>
          <cell r="D56">
            <v>14</v>
          </cell>
          <cell r="E56">
            <v>2</v>
          </cell>
          <cell r="F56">
            <v>14</v>
          </cell>
        </row>
        <row r="57">
          <cell r="A57">
            <v>1056</v>
          </cell>
          <cell r="B57" t="str">
            <v>NailMagic Color 02</v>
          </cell>
          <cell r="C57">
            <v>4.25</v>
          </cell>
          <cell r="D57">
            <v>3</v>
          </cell>
          <cell r="E57">
            <v>2</v>
          </cell>
          <cell r="F57">
            <v>14</v>
          </cell>
        </row>
        <row r="58">
          <cell r="A58">
            <v>1057</v>
          </cell>
          <cell r="B58" t="str">
            <v>NailMagic Color 03</v>
          </cell>
          <cell r="C58">
            <v>4.25</v>
          </cell>
          <cell r="D58">
            <v>27</v>
          </cell>
          <cell r="E58">
            <v>2</v>
          </cell>
          <cell r="F58">
            <v>14</v>
          </cell>
        </row>
        <row r="59">
          <cell r="A59">
            <v>1058</v>
          </cell>
          <cell r="B59" t="str">
            <v>NailMagic Color 04</v>
          </cell>
          <cell r="C59">
            <v>4.25</v>
          </cell>
          <cell r="D59">
            <v>12</v>
          </cell>
          <cell r="E59">
            <v>2</v>
          </cell>
          <cell r="F59">
            <v>14</v>
          </cell>
        </row>
        <row r="60">
          <cell r="A60">
            <v>1059</v>
          </cell>
          <cell r="B60" t="str">
            <v>NailMagic Color 05</v>
          </cell>
          <cell r="C60">
            <v>4.25</v>
          </cell>
          <cell r="D60">
            <v>11</v>
          </cell>
          <cell r="E60">
            <v>2</v>
          </cell>
          <cell r="F60">
            <v>14</v>
          </cell>
        </row>
        <row r="61">
          <cell r="A61">
            <v>1060</v>
          </cell>
          <cell r="B61" t="str">
            <v>NailMagic Color 06</v>
          </cell>
          <cell r="C61">
            <v>4.25</v>
          </cell>
          <cell r="D61">
            <v>9</v>
          </cell>
          <cell r="E61">
            <v>2</v>
          </cell>
          <cell r="F61">
            <v>14</v>
          </cell>
        </row>
        <row r="62">
          <cell r="A62">
            <v>1061</v>
          </cell>
          <cell r="B62" t="str">
            <v>NailMagic Color 07</v>
          </cell>
          <cell r="C62">
            <v>4.25</v>
          </cell>
          <cell r="D62">
            <v>16</v>
          </cell>
          <cell r="E62">
            <v>2</v>
          </cell>
          <cell r="F62">
            <v>14</v>
          </cell>
        </row>
        <row r="63">
          <cell r="A63">
            <v>1062</v>
          </cell>
          <cell r="B63" t="str">
            <v>NailMagic Color 08</v>
          </cell>
          <cell r="C63">
            <v>4.25</v>
          </cell>
          <cell r="D63">
            <v>3</v>
          </cell>
          <cell r="E63">
            <v>2</v>
          </cell>
          <cell r="F63">
            <v>14</v>
          </cell>
        </row>
        <row r="64">
          <cell r="A64">
            <v>1063</v>
          </cell>
          <cell r="B64" t="str">
            <v>NailMagic Color 09</v>
          </cell>
          <cell r="C64">
            <v>4.25</v>
          </cell>
          <cell r="D64">
            <v>19</v>
          </cell>
          <cell r="E64">
            <v>2</v>
          </cell>
          <cell r="F64">
            <v>14</v>
          </cell>
        </row>
        <row r="65">
          <cell r="A65">
            <v>1064</v>
          </cell>
          <cell r="B65" t="str">
            <v>NailMagic Color 10</v>
          </cell>
          <cell r="C65">
            <v>4.25</v>
          </cell>
          <cell r="D65">
            <v>21</v>
          </cell>
          <cell r="E65">
            <v>2</v>
          </cell>
          <cell r="F65">
            <v>14</v>
          </cell>
        </row>
        <row r="66">
          <cell r="A66">
            <v>1065</v>
          </cell>
          <cell r="B66" t="str">
            <v>NailMagic Color 11</v>
          </cell>
          <cell r="C66">
            <v>4.25</v>
          </cell>
          <cell r="D66">
            <v>14</v>
          </cell>
          <cell r="E66">
            <v>2</v>
          </cell>
          <cell r="F66">
            <v>14</v>
          </cell>
        </row>
        <row r="67">
          <cell r="A67">
            <v>1066</v>
          </cell>
          <cell r="B67" t="str">
            <v>NailMagic Color 12</v>
          </cell>
          <cell r="C67">
            <v>4.25</v>
          </cell>
          <cell r="D67">
            <v>16</v>
          </cell>
          <cell r="E67">
            <v>2</v>
          </cell>
          <cell r="F67">
            <v>14</v>
          </cell>
        </row>
        <row r="68">
          <cell r="A68">
            <v>1067</v>
          </cell>
          <cell r="B68" t="str">
            <v>NailMagic Color 13</v>
          </cell>
          <cell r="C68">
            <v>4.25</v>
          </cell>
          <cell r="D68">
            <v>26</v>
          </cell>
          <cell r="E68">
            <v>2</v>
          </cell>
          <cell r="F68">
            <v>14</v>
          </cell>
        </row>
        <row r="69">
          <cell r="A69">
            <v>1068</v>
          </cell>
          <cell r="B69" t="str">
            <v>NailMagic Color 14</v>
          </cell>
          <cell r="C69">
            <v>4.25</v>
          </cell>
          <cell r="D69">
            <v>7</v>
          </cell>
          <cell r="E69">
            <v>2</v>
          </cell>
          <cell r="F69">
            <v>14</v>
          </cell>
        </row>
        <row r="70">
          <cell r="A70">
            <v>1069</v>
          </cell>
          <cell r="B70" t="str">
            <v>NailMagic Color 15</v>
          </cell>
          <cell r="C70">
            <v>4.25</v>
          </cell>
          <cell r="D70">
            <v>20</v>
          </cell>
          <cell r="E70">
            <v>2</v>
          </cell>
          <cell r="F70">
            <v>14</v>
          </cell>
        </row>
        <row r="71">
          <cell r="A71">
            <v>1070</v>
          </cell>
          <cell r="B71" t="str">
            <v>NailMagic Color 16</v>
          </cell>
          <cell r="C71">
            <v>4.25</v>
          </cell>
          <cell r="D71">
            <v>10</v>
          </cell>
          <cell r="E71">
            <v>2</v>
          </cell>
          <cell r="F71">
            <v>14</v>
          </cell>
        </row>
        <row r="72">
          <cell r="A72">
            <v>1071</v>
          </cell>
          <cell r="B72" t="str">
            <v>NailMagic Color 17</v>
          </cell>
          <cell r="C72">
            <v>4.25</v>
          </cell>
          <cell r="D72">
            <v>29</v>
          </cell>
          <cell r="E72">
            <v>2</v>
          </cell>
          <cell r="F72">
            <v>14</v>
          </cell>
        </row>
        <row r="73">
          <cell r="A73">
            <v>1072</v>
          </cell>
          <cell r="B73" t="str">
            <v>NailMagic Color 18</v>
          </cell>
          <cell r="C73">
            <v>4.25</v>
          </cell>
          <cell r="D73">
            <v>7</v>
          </cell>
          <cell r="E73">
            <v>2</v>
          </cell>
          <cell r="F73">
            <v>14</v>
          </cell>
        </row>
        <row r="74">
          <cell r="A74">
            <v>1073</v>
          </cell>
          <cell r="B74" t="str">
            <v>NailMagic Color 19</v>
          </cell>
          <cell r="C74">
            <v>4.25</v>
          </cell>
          <cell r="D74">
            <v>14</v>
          </cell>
          <cell r="E74">
            <v>2</v>
          </cell>
          <cell r="F74">
            <v>14</v>
          </cell>
        </row>
        <row r="75">
          <cell r="A75">
            <v>1074</v>
          </cell>
          <cell r="B75" t="str">
            <v>NailMagic Color 20</v>
          </cell>
          <cell r="C75">
            <v>4.25</v>
          </cell>
          <cell r="D75">
            <v>29</v>
          </cell>
          <cell r="E75">
            <v>2</v>
          </cell>
          <cell r="F75">
            <v>14</v>
          </cell>
        </row>
        <row r="76">
          <cell r="A76">
            <v>1075</v>
          </cell>
          <cell r="B76" t="str">
            <v>NailMagic Color 21</v>
          </cell>
          <cell r="C76">
            <v>4.25</v>
          </cell>
          <cell r="D76">
            <v>1</v>
          </cell>
          <cell r="E76">
            <v>2</v>
          </cell>
          <cell r="F76">
            <v>14</v>
          </cell>
        </row>
        <row r="77">
          <cell r="A77">
            <v>1076</v>
          </cell>
          <cell r="B77" t="str">
            <v>NailMagic Color 22</v>
          </cell>
          <cell r="C77">
            <v>4.25</v>
          </cell>
          <cell r="D77">
            <v>28</v>
          </cell>
          <cell r="E77">
            <v>2</v>
          </cell>
          <cell r="F77">
            <v>14</v>
          </cell>
        </row>
        <row r="78">
          <cell r="A78">
            <v>1077</v>
          </cell>
          <cell r="B78" t="str">
            <v>NailMagic Color 23</v>
          </cell>
          <cell r="C78">
            <v>4.25</v>
          </cell>
          <cell r="D78">
            <v>19</v>
          </cell>
          <cell r="E78">
            <v>2</v>
          </cell>
          <cell r="F78">
            <v>14</v>
          </cell>
        </row>
        <row r="79">
          <cell r="A79">
            <v>1078</v>
          </cell>
          <cell r="B79" t="str">
            <v>NailMagic Color 24</v>
          </cell>
          <cell r="C79">
            <v>4.25</v>
          </cell>
          <cell r="E79">
            <v>2</v>
          </cell>
          <cell r="F79">
            <v>14</v>
          </cell>
        </row>
        <row r="80">
          <cell r="A80">
            <v>1079</v>
          </cell>
          <cell r="B80" t="str">
            <v>NailMagic Color 25</v>
          </cell>
          <cell r="C80">
            <v>4.25</v>
          </cell>
          <cell r="D80">
            <v>26</v>
          </cell>
          <cell r="E80">
            <v>2</v>
          </cell>
          <cell r="F80">
            <v>14</v>
          </cell>
        </row>
        <row r="81">
          <cell r="A81">
            <v>1080</v>
          </cell>
          <cell r="B81" t="str">
            <v>NailMagic Base</v>
          </cell>
          <cell r="C81">
            <v>6.15</v>
          </cell>
          <cell r="D81">
            <v>10</v>
          </cell>
          <cell r="E81">
            <v>2</v>
          </cell>
          <cell r="F81">
            <v>14</v>
          </cell>
        </row>
        <row r="82">
          <cell r="A82">
            <v>1081</v>
          </cell>
          <cell r="B82" t="str">
            <v>NailMagic Top</v>
          </cell>
          <cell r="C82">
            <v>6.15</v>
          </cell>
          <cell r="D82">
            <v>3</v>
          </cell>
          <cell r="E82">
            <v>2</v>
          </cell>
          <cell r="F82">
            <v>14</v>
          </cell>
        </row>
        <row r="83">
          <cell r="A83">
            <v>1082</v>
          </cell>
          <cell r="B83" t="str">
            <v>NailMagic Ridge Filler</v>
          </cell>
          <cell r="C83">
            <v>12</v>
          </cell>
          <cell r="D83">
            <v>2</v>
          </cell>
          <cell r="E83">
            <v>2</v>
          </cell>
          <cell r="F83">
            <v>14</v>
          </cell>
        </row>
        <row r="84">
          <cell r="A84">
            <v>1083</v>
          </cell>
          <cell r="B84" t="str">
            <v>NailMagic Glossy</v>
          </cell>
          <cell r="C84">
            <v>12</v>
          </cell>
          <cell r="D84">
            <v>18</v>
          </cell>
          <cell r="E84">
            <v>2</v>
          </cell>
          <cell r="F84">
            <v>14</v>
          </cell>
        </row>
        <row r="85">
          <cell r="A85">
            <v>1084</v>
          </cell>
          <cell r="B85" t="str">
            <v>NailMagic NoChip</v>
          </cell>
          <cell r="C85">
            <v>10</v>
          </cell>
          <cell r="D85">
            <v>26</v>
          </cell>
          <cell r="E85">
            <v>2</v>
          </cell>
          <cell r="F85">
            <v>14</v>
          </cell>
        </row>
        <row r="86">
          <cell r="A86">
            <v>1085</v>
          </cell>
          <cell r="B86" t="str">
            <v>NoTan Tanning Spray</v>
          </cell>
          <cell r="C86">
            <v>10</v>
          </cell>
          <cell r="D86">
            <v>30</v>
          </cell>
          <cell r="E86">
            <v>3</v>
          </cell>
          <cell r="F86">
            <v>7</v>
          </cell>
        </row>
        <row r="87">
          <cell r="A87">
            <v>1086</v>
          </cell>
          <cell r="B87" t="str">
            <v>NoTan Moisturizer</v>
          </cell>
          <cell r="C87">
            <v>9</v>
          </cell>
          <cell r="D87">
            <v>15</v>
          </cell>
          <cell r="E87">
            <v>3</v>
          </cell>
          <cell r="F87">
            <v>7</v>
          </cell>
        </row>
        <row r="88">
          <cell r="A88">
            <v>1087</v>
          </cell>
          <cell r="B88" t="str">
            <v>NoTan Bronzer</v>
          </cell>
          <cell r="C88">
            <v>19</v>
          </cell>
          <cell r="E88">
            <v>3</v>
          </cell>
          <cell r="F88">
            <v>7</v>
          </cell>
        </row>
        <row r="89">
          <cell r="A89">
            <v>1088</v>
          </cell>
          <cell r="B89" t="str">
            <v>NoTan Tanning Gel</v>
          </cell>
          <cell r="C89">
            <v>24</v>
          </cell>
          <cell r="D89">
            <v>28</v>
          </cell>
          <cell r="E89">
            <v>3</v>
          </cell>
          <cell r="F89">
            <v>7</v>
          </cell>
        </row>
        <row r="90">
          <cell r="A90">
            <v>1089</v>
          </cell>
          <cell r="B90" t="str">
            <v>Tea in a Bottle Shampoo</v>
          </cell>
          <cell r="C90">
            <v>20</v>
          </cell>
          <cell r="D90">
            <v>2</v>
          </cell>
          <cell r="E90">
            <v>5</v>
          </cell>
          <cell r="F90">
            <v>14</v>
          </cell>
        </row>
        <row r="91">
          <cell r="A91">
            <v>1090</v>
          </cell>
          <cell r="B91" t="str">
            <v>Tea in a Bottle Conditioner</v>
          </cell>
          <cell r="C91">
            <v>11</v>
          </cell>
          <cell r="D91">
            <v>4</v>
          </cell>
          <cell r="E91">
            <v>5</v>
          </cell>
          <cell r="F91">
            <v>14</v>
          </cell>
        </row>
        <row r="92">
          <cell r="A92">
            <v>1091</v>
          </cell>
          <cell r="B92" t="str">
            <v>TIAB 16 oz</v>
          </cell>
          <cell r="C92">
            <v>15</v>
          </cell>
          <cell r="D92">
            <v>3</v>
          </cell>
          <cell r="E92">
            <v>5</v>
          </cell>
          <cell r="F92">
            <v>14</v>
          </cell>
        </row>
        <row r="93">
          <cell r="A93">
            <v>1092</v>
          </cell>
          <cell r="B93" t="str">
            <v>TIAB 32 oz</v>
          </cell>
          <cell r="C93">
            <v>23</v>
          </cell>
          <cell r="D93">
            <v>7</v>
          </cell>
          <cell r="E93">
            <v>5</v>
          </cell>
          <cell r="F93">
            <v>14</v>
          </cell>
        </row>
        <row r="94">
          <cell r="A94">
            <v>1093</v>
          </cell>
          <cell r="B94" t="str">
            <v>TIAB 48 oz</v>
          </cell>
          <cell r="C94">
            <v>25</v>
          </cell>
          <cell r="D94">
            <v>24</v>
          </cell>
          <cell r="E94">
            <v>5</v>
          </cell>
          <cell r="F94">
            <v>14</v>
          </cell>
        </row>
        <row r="95">
          <cell r="A95">
            <v>1094</v>
          </cell>
          <cell r="B95" t="str">
            <v>TIAB sampler</v>
          </cell>
          <cell r="C95">
            <v>22</v>
          </cell>
          <cell r="D95">
            <v>18</v>
          </cell>
          <cell r="E95">
            <v>5</v>
          </cell>
          <cell r="F95">
            <v>14</v>
          </cell>
        </row>
        <row r="96">
          <cell r="A96">
            <v>1095</v>
          </cell>
          <cell r="B96" t="str">
            <v>SPF 15 gel</v>
          </cell>
          <cell r="C96">
            <v>12</v>
          </cell>
          <cell r="D96">
            <v>18</v>
          </cell>
          <cell r="E96">
            <v>8</v>
          </cell>
          <cell r="F96">
            <v>5</v>
          </cell>
        </row>
        <row r="97">
          <cell r="A97">
            <v>1096</v>
          </cell>
          <cell r="B97" t="str">
            <v>SPF 30 gel</v>
          </cell>
          <cell r="C97">
            <v>19</v>
          </cell>
          <cell r="D97">
            <v>16</v>
          </cell>
          <cell r="E97">
            <v>8</v>
          </cell>
          <cell r="F97">
            <v>5</v>
          </cell>
        </row>
        <row r="98">
          <cell r="A98">
            <v>1097</v>
          </cell>
          <cell r="B98" t="str">
            <v>SPF 45 gel</v>
          </cell>
          <cell r="C98">
            <v>18</v>
          </cell>
          <cell r="D98">
            <v>22</v>
          </cell>
          <cell r="E98">
            <v>8</v>
          </cell>
          <cell r="F98">
            <v>5</v>
          </cell>
        </row>
        <row r="99">
          <cell r="A99">
            <v>1098</v>
          </cell>
          <cell r="B99" t="str">
            <v>SPF 60 gel</v>
          </cell>
          <cell r="C99">
            <v>20</v>
          </cell>
          <cell r="D99">
            <v>12</v>
          </cell>
          <cell r="E99">
            <v>8</v>
          </cell>
          <cell r="F99">
            <v>5</v>
          </cell>
        </row>
        <row r="100">
          <cell r="A100">
            <v>1099</v>
          </cell>
          <cell r="B100" t="str">
            <v>Yan Can Shampoo</v>
          </cell>
          <cell r="C100">
            <v>19</v>
          </cell>
          <cell r="D100">
            <v>2</v>
          </cell>
          <cell r="E100">
            <v>5</v>
          </cell>
          <cell r="F100">
            <v>21</v>
          </cell>
        </row>
        <row r="101">
          <cell r="A101">
            <v>1100</v>
          </cell>
          <cell r="B101" t="str">
            <v>Yan Can Conditioner</v>
          </cell>
          <cell r="C101">
            <v>7</v>
          </cell>
          <cell r="D101">
            <v>28</v>
          </cell>
          <cell r="E101">
            <v>5</v>
          </cell>
          <cell r="F101">
            <v>21</v>
          </cell>
        </row>
        <row r="102">
          <cell r="A102">
            <v>1101</v>
          </cell>
          <cell r="B102" t="str">
            <v>Yan Can Hair Mask</v>
          </cell>
          <cell r="C102">
            <v>18</v>
          </cell>
          <cell r="D102">
            <v>4</v>
          </cell>
          <cell r="E102">
            <v>5</v>
          </cell>
          <cell r="F102">
            <v>21</v>
          </cell>
        </row>
        <row r="103">
          <cell r="A103">
            <v>1102</v>
          </cell>
          <cell r="B103" t="str">
            <v>Yan Can Mousse</v>
          </cell>
          <cell r="C103">
            <v>18</v>
          </cell>
          <cell r="E103">
            <v>5</v>
          </cell>
          <cell r="F103">
            <v>21</v>
          </cell>
        </row>
        <row r="104">
          <cell r="A104">
            <v>1103</v>
          </cell>
          <cell r="B104" t="str">
            <v>Yan Can Gel</v>
          </cell>
          <cell r="C104">
            <v>15</v>
          </cell>
          <cell r="D104">
            <v>1</v>
          </cell>
          <cell r="E104">
            <v>5</v>
          </cell>
          <cell r="F104">
            <v>21</v>
          </cell>
        </row>
        <row r="105">
          <cell r="A105">
            <v>1104</v>
          </cell>
          <cell r="B105" t="str">
            <v>Yan Can Moulding Gel</v>
          </cell>
          <cell r="C105">
            <v>25</v>
          </cell>
          <cell r="D105">
            <v>12</v>
          </cell>
          <cell r="E105">
            <v>5</v>
          </cell>
          <cell r="F105">
            <v>21</v>
          </cell>
        </row>
        <row r="106">
          <cell r="A106">
            <v>1105</v>
          </cell>
          <cell r="B106" t="str">
            <v>Yan Can Masque</v>
          </cell>
          <cell r="C106">
            <v>20</v>
          </cell>
          <cell r="E106">
            <v>5</v>
          </cell>
          <cell r="F106">
            <v>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defaultRowHeight="14.4" x14ac:dyDescent="0.55000000000000004"/>
  <cols>
    <col min="1" max="1" width="24.83984375" customWidth="1"/>
    <col min="2" max="7" width="10.68359375" customWidth="1"/>
    <col min="8" max="8" width="10" bestFit="1" customWidth="1"/>
    <col min="9" max="9" width="19" bestFit="1" customWidth="1"/>
  </cols>
  <sheetData>
    <row r="1" spans="1:7" ht="23.1" x14ac:dyDescent="0.85">
      <c r="A1" s="12" t="s">
        <v>1</v>
      </c>
      <c r="B1" s="12"/>
      <c r="C1" s="12"/>
      <c r="D1" s="12"/>
      <c r="E1" s="12"/>
      <c r="F1" s="12"/>
      <c r="G1" s="12"/>
    </row>
    <row r="2" spans="1:7" x14ac:dyDescent="0.55000000000000004">
      <c r="A2" s="1" t="s">
        <v>2</v>
      </c>
      <c r="B2" s="13" t="s">
        <v>13</v>
      </c>
      <c r="C2" s="13" t="s">
        <v>53</v>
      </c>
      <c r="D2" s="13" t="s">
        <v>14</v>
      </c>
      <c r="E2" s="13" t="s">
        <v>15</v>
      </c>
      <c r="F2" s="13" t="s">
        <v>0</v>
      </c>
      <c r="G2" s="13" t="s">
        <v>16</v>
      </c>
    </row>
    <row r="3" spans="1:7" x14ac:dyDescent="0.55000000000000004">
      <c r="A3" s="4" t="s">
        <v>8</v>
      </c>
      <c r="B3" s="5">
        <v>3000</v>
      </c>
      <c r="C3" s="5">
        <v>9000</v>
      </c>
      <c r="D3" s="5">
        <v>2500</v>
      </c>
      <c r="E3" s="5">
        <v>2500</v>
      </c>
      <c r="F3" s="5">
        <v>8000</v>
      </c>
      <c r="G3" s="5">
        <v>8000</v>
      </c>
    </row>
    <row r="4" spans="1:7" x14ac:dyDescent="0.55000000000000004">
      <c r="A4" s="4" t="s">
        <v>9</v>
      </c>
      <c r="B4" s="5">
        <v>2500</v>
      </c>
      <c r="C4" s="5">
        <v>12000</v>
      </c>
      <c r="D4" s="5">
        <v>6750</v>
      </c>
      <c r="E4" s="5">
        <v>6700</v>
      </c>
      <c r="F4" s="5">
        <v>7500</v>
      </c>
      <c r="G4" s="5">
        <v>9000</v>
      </c>
    </row>
    <row r="5" spans="1:7" x14ac:dyDescent="0.55000000000000004">
      <c r="A5" s="4" t="s">
        <v>10</v>
      </c>
      <c r="B5" s="5">
        <v>1500</v>
      </c>
      <c r="C5" s="5">
        <v>10000</v>
      </c>
      <c r="D5" s="5">
        <v>3000</v>
      </c>
      <c r="E5" s="5">
        <v>4500</v>
      </c>
      <c r="F5" s="5">
        <v>4500</v>
      </c>
      <c r="G5" s="5">
        <v>5000</v>
      </c>
    </row>
    <row r="6" spans="1:7" ht="14.7" thickBot="1" x14ac:dyDescent="0.6">
      <c r="B6" s="6">
        <f>SUM(B3:B5)</f>
        <v>7000</v>
      </c>
      <c r="C6" s="6">
        <f t="shared" ref="C6:G6" si="0">SUM(C3:C5)</f>
        <v>31000</v>
      </c>
      <c r="D6" s="6">
        <f t="shared" si="0"/>
        <v>12250</v>
      </c>
      <c r="E6" s="6">
        <f t="shared" si="0"/>
        <v>13700</v>
      </c>
      <c r="F6" s="6">
        <f t="shared" si="0"/>
        <v>20000</v>
      </c>
      <c r="G6" s="6">
        <f t="shared" si="0"/>
        <v>22000</v>
      </c>
    </row>
    <row r="7" spans="1:7" ht="14.7" thickTop="1" x14ac:dyDescent="0.55000000000000004"/>
    <row r="8" spans="1:7" x14ac:dyDescent="0.55000000000000004">
      <c r="A8" s="1" t="s">
        <v>3</v>
      </c>
      <c r="B8" s="13"/>
      <c r="C8" s="13"/>
      <c r="D8" s="13"/>
      <c r="E8" s="13"/>
      <c r="F8" s="13"/>
      <c r="G8" s="13"/>
    </row>
    <row r="9" spans="1:7" x14ac:dyDescent="0.55000000000000004">
      <c r="A9" s="8" t="s">
        <v>4</v>
      </c>
      <c r="B9" s="14">
        <v>9000</v>
      </c>
      <c r="C9" s="14">
        <v>9000</v>
      </c>
      <c r="D9" s="14">
        <v>9000</v>
      </c>
      <c r="E9" s="14">
        <v>9000</v>
      </c>
      <c r="F9" s="14">
        <v>9000</v>
      </c>
      <c r="G9" s="14">
        <v>9000</v>
      </c>
    </row>
    <row r="10" spans="1:7" x14ac:dyDescent="0.55000000000000004">
      <c r="A10" s="4" t="s">
        <v>7</v>
      </c>
      <c r="B10" s="5">
        <v>6000</v>
      </c>
      <c r="C10" s="5">
        <v>6000</v>
      </c>
      <c r="D10" s="5">
        <v>6000</v>
      </c>
      <c r="E10" s="5">
        <v>6000</v>
      </c>
      <c r="F10" s="5">
        <v>6500</v>
      </c>
      <c r="G10" s="5">
        <v>6500</v>
      </c>
    </row>
    <row r="11" spans="1:7" x14ac:dyDescent="0.55000000000000004">
      <c r="A11" s="4" t="s">
        <v>12</v>
      </c>
      <c r="B11" s="5">
        <f>B4*5.5%</f>
        <v>137.5</v>
      </c>
      <c r="C11" s="5">
        <f t="shared" ref="C11:G11" si="1">C4*5.5%</f>
        <v>660</v>
      </c>
      <c r="D11" s="5">
        <f t="shared" si="1"/>
        <v>371.25</v>
      </c>
      <c r="E11" s="5">
        <f t="shared" si="1"/>
        <v>368.5</v>
      </c>
      <c r="F11" s="5">
        <f t="shared" si="1"/>
        <v>412.5</v>
      </c>
      <c r="G11" s="5">
        <f t="shared" si="1"/>
        <v>495</v>
      </c>
    </row>
    <row r="12" spans="1:7" x14ac:dyDescent="0.55000000000000004">
      <c r="A12" s="4" t="s">
        <v>5</v>
      </c>
      <c r="B12" s="5">
        <v>1500</v>
      </c>
      <c r="C12" s="5">
        <v>1200</v>
      </c>
      <c r="D12" s="5">
        <v>800</v>
      </c>
      <c r="E12" s="5">
        <v>800</v>
      </c>
      <c r="F12" s="5">
        <v>750</v>
      </c>
      <c r="G12" s="5">
        <v>750</v>
      </c>
    </row>
    <row r="13" spans="1:7" x14ac:dyDescent="0.55000000000000004">
      <c r="A13" s="4" t="s">
        <v>6</v>
      </c>
      <c r="B13" s="5">
        <v>400</v>
      </c>
      <c r="C13" s="5">
        <v>400</v>
      </c>
      <c r="D13" s="5">
        <v>400</v>
      </c>
      <c r="E13" s="5">
        <v>400</v>
      </c>
      <c r="F13" s="5">
        <v>400</v>
      </c>
      <c r="G13" s="5">
        <v>400</v>
      </c>
    </row>
    <row r="14" spans="1:7" x14ac:dyDescent="0.55000000000000004">
      <c r="A14" s="4" t="s">
        <v>11</v>
      </c>
      <c r="B14" s="14">
        <v>500</v>
      </c>
      <c r="C14" s="14">
        <v>300</v>
      </c>
      <c r="D14" s="14">
        <v>430</v>
      </c>
      <c r="E14" s="14">
        <v>200</v>
      </c>
      <c r="F14" s="14">
        <v>700</v>
      </c>
      <c r="G14" s="14">
        <v>640</v>
      </c>
    </row>
    <row r="15" spans="1:7" ht="14.7" thickBot="1" x14ac:dyDescent="0.6">
      <c r="B15" s="6">
        <f>SUM(B9:B14)</f>
        <v>17537.5</v>
      </c>
      <c r="C15" s="6">
        <f t="shared" ref="C15:G15" si="2">SUM(C9:C14)</f>
        <v>17560</v>
      </c>
      <c r="D15" s="6">
        <f t="shared" si="2"/>
        <v>17001.25</v>
      </c>
      <c r="E15" s="6">
        <f t="shared" si="2"/>
        <v>16768.5</v>
      </c>
      <c r="F15" s="6">
        <f t="shared" si="2"/>
        <v>17762.5</v>
      </c>
      <c r="G15" s="6">
        <f t="shared" si="2"/>
        <v>17785</v>
      </c>
    </row>
    <row r="16" spans="1:7" ht="14.7" thickTop="1" x14ac:dyDescent="0.55000000000000004"/>
    <row r="17" spans="1:10" ht="28.8" x14ac:dyDescent="0.55000000000000004">
      <c r="A17" s="28" t="s">
        <v>47</v>
      </c>
      <c r="B17" s="5">
        <v>135000</v>
      </c>
      <c r="C17" s="5">
        <f>B20-B21</f>
        <v>0</v>
      </c>
      <c r="D17" s="5">
        <f>C20-C21</f>
        <v>0</v>
      </c>
      <c r="E17" s="5">
        <f>D20-D21</f>
        <v>0</v>
      </c>
      <c r="F17" s="5">
        <f>E20-E21</f>
        <v>0</v>
      </c>
      <c r="G17" s="5">
        <f>F20-F21</f>
        <v>0</v>
      </c>
      <c r="I17" s="5"/>
    </row>
    <row r="18" spans="1:10" x14ac:dyDescent="0.55000000000000004">
      <c r="A18" s="29" t="s">
        <v>48</v>
      </c>
      <c r="B18" s="5">
        <f>B6</f>
        <v>7000</v>
      </c>
      <c r="C18" s="5">
        <f t="shared" ref="C18:G18" si="3">C6</f>
        <v>31000</v>
      </c>
      <c r="D18" s="5">
        <f t="shared" si="3"/>
        <v>12250</v>
      </c>
      <c r="E18" s="5">
        <f t="shared" si="3"/>
        <v>13700</v>
      </c>
      <c r="F18" s="5">
        <f t="shared" si="3"/>
        <v>20000</v>
      </c>
      <c r="G18" s="5">
        <f t="shared" si="3"/>
        <v>22000</v>
      </c>
    </row>
    <row r="19" spans="1:10" x14ac:dyDescent="0.55000000000000004">
      <c r="A19" s="30" t="s">
        <v>49</v>
      </c>
      <c r="B19" s="5"/>
      <c r="C19" s="5"/>
      <c r="D19" s="5"/>
      <c r="E19" s="5"/>
      <c r="F19" s="5"/>
      <c r="G19" s="5"/>
    </row>
    <row r="20" spans="1:10" ht="14.7" thickBot="1" x14ac:dyDescent="0.6">
      <c r="A20" s="31" t="s">
        <v>50</v>
      </c>
      <c r="B20" s="6"/>
      <c r="C20" s="6"/>
      <c r="D20" s="6"/>
      <c r="E20" s="6"/>
      <c r="F20" s="6"/>
      <c r="G20" s="6"/>
    </row>
    <row r="21" spans="1:10" ht="15" thickTop="1" thickBot="1" x14ac:dyDescent="0.6">
      <c r="A21" s="32" t="s">
        <v>51</v>
      </c>
      <c r="B21" s="33"/>
      <c r="C21" s="34"/>
      <c r="D21" s="34"/>
      <c r="E21" s="34"/>
      <c r="F21" s="34"/>
      <c r="G21" s="34"/>
      <c r="I21" s="35" t="s">
        <v>52</v>
      </c>
      <c r="J21" s="36">
        <v>0.05</v>
      </c>
    </row>
    <row r="22" spans="1:10" ht="14.7" thickTop="1" x14ac:dyDescent="0.55000000000000004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B9" sqref="B9"/>
    </sheetView>
  </sheetViews>
  <sheetFormatPr defaultRowHeight="14.4" x14ac:dyDescent="0.55000000000000004"/>
  <cols>
    <col min="1" max="1" width="31.26171875" customWidth="1"/>
    <col min="2" max="2" width="11.578125" bestFit="1" customWidth="1"/>
    <col min="3" max="7" width="11.26171875" bestFit="1" customWidth="1"/>
  </cols>
  <sheetData>
    <row r="1" spans="1:7" ht="23.1" x14ac:dyDescent="0.85">
      <c r="A1" s="12" t="s">
        <v>1</v>
      </c>
      <c r="B1" s="12"/>
      <c r="C1" s="12"/>
      <c r="D1" s="12"/>
      <c r="E1" s="12"/>
      <c r="F1" s="12"/>
      <c r="G1" s="12"/>
    </row>
    <row r="2" spans="1:7" x14ac:dyDescent="0.55000000000000004">
      <c r="A2" s="1" t="s">
        <v>2</v>
      </c>
      <c r="B2" s="13"/>
      <c r="C2" s="13"/>
      <c r="D2" s="13"/>
      <c r="E2" s="13"/>
      <c r="F2" s="13"/>
      <c r="G2" s="13"/>
    </row>
    <row r="3" spans="1:7" x14ac:dyDescent="0.55000000000000004">
      <c r="A3" s="4" t="s">
        <v>8</v>
      </c>
      <c r="B3" s="9">
        <v>1890</v>
      </c>
      <c r="C3" s="9">
        <v>2240</v>
      </c>
      <c r="D3" s="9">
        <v>2390</v>
      </c>
      <c r="E3" s="9">
        <v>2420</v>
      </c>
      <c r="F3" s="9">
        <v>3000</v>
      </c>
      <c r="G3" s="9">
        <v>12000</v>
      </c>
    </row>
    <row r="4" spans="1:7" x14ac:dyDescent="0.55000000000000004">
      <c r="A4" s="4" t="s">
        <v>9</v>
      </c>
      <c r="B4" s="9">
        <v>4480</v>
      </c>
      <c r="C4" s="10">
        <v>8820</v>
      </c>
      <c r="D4" s="9">
        <v>6750</v>
      </c>
      <c r="E4" s="9">
        <v>6700</v>
      </c>
      <c r="F4" s="9">
        <v>7300</v>
      </c>
      <c r="G4" s="9">
        <v>30000</v>
      </c>
    </row>
    <row r="5" spans="1:7" x14ac:dyDescent="0.55000000000000004">
      <c r="A5" s="4" t="s">
        <v>10</v>
      </c>
      <c r="B5" s="9">
        <v>5590</v>
      </c>
      <c r="C5" s="9">
        <v>5000</v>
      </c>
      <c r="D5" s="9">
        <v>3030</v>
      </c>
      <c r="E5" s="9">
        <v>4300</v>
      </c>
      <c r="F5" s="9">
        <v>4300</v>
      </c>
      <c r="G5" s="9">
        <v>17500</v>
      </c>
    </row>
    <row r="6" spans="1:7" s="37" customFormat="1" x14ac:dyDescent="0.55000000000000004">
      <c r="B6" s="7"/>
    </row>
    <row r="8" spans="1:7" x14ac:dyDescent="0.55000000000000004">
      <c r="A8" s="1" t="s">
        <v>3</v>
      </c>
      <c r="B8" s="13"/>
      <c r="C8" s="3"/>
      <c r="D8" s="2"/>
      <c r="E8" s="3"/>
      <c r="F8" s="2"/>
      <c r="G8" s="3"/>
    </row>
    <row r="9" spans="1:7" x14ac:dyDescent="0.55000000000000004">
      <c r="A9" s="8" t="s">
        <v>4</v>
      </c>
      <c r="B9" s="11"/>
      <c r="C9" s="11"/>
      <c r="D9" s="11"/>
      <c r="E9" s="11"/>
      <c r="F9" s="11"/>
      <c r="G9" s="11"/>
    </row>
    <row r="10" spans="1:7" x14ac:dyDescent="0.55000000000000004">
      <c r="A10" s="4" t="s">
        <v>7</v>
      </c>
      <c r="B10" s="9">
        <v>6000</v>
      </c>
      <c r="C10" s="9">
        <v>6000</v>
      </c>
      <c r="D10" s="9">
        <v>6000</v>
      </c>
      <c r="E10" s="9">
        <v>6000</v>
      </c>
      <c r="F10" s="9">
        <v>6500</v>
      </c>
      <c r="G10" s="9">
        <v>6500</v>
      </c>
    </row>
    <row r="11" spans="1:7" x14ac:dyDescent="0.55000000000000004">
      <c r="A11" s="4" t="s">
        <v>12</v>
      </c>
      <c r="B11" s="9"/>
      <c r="C11" s="9"/>
      <c r="D11" s="9"/>
      <c r="E11" s="9"/>
      <c r="F11" s="9"/>
      <c r="G11" s="9"/>
    </row>
    <row r="12" spans="1:7" x14ac:dyDescent="0.55000000000000004">
      <c r="A12" s="4" t="s">
        <v>5</v>
      </c>
      <c r="B12" s="9">
        <v>1500</v>
      </c>
      <c r="C12" s="9">
        <v>1200</v>
      </c>
      <c r="D12" s="9">
        <v>800</v>
      </c>
      <c r="E12" s="9">
        <v>800</v>
      </c>
      <c r="F12" s="9">
        <v>750</v>
      </c>
      <c r="G12" s="9">
        <v>750</v>
      </c>
    </row>
    <row r="13" spans="1:7" x14ac:dyDescent="0.55000000000000004">
      <c r="A13" s="4" t="s">
        <v>6</v>
      </c>
      <c r="B13" s="9">
        <v>400</v>
      </c>
      <c r="C13" s="9">
        <v>400</v>
      </c>
      <c r="D13" s="9">
        <v>400</v>
      </c>
      <c r="E13" s="9">
        <v>400</v>
      </c>
      <c r="F13" s="9">
        <v>400</v>
      </c>
      <c r="G13" s="9">
        <v>400</v>
      </c>
    </row>
    <row r="14" spans="1:7" x14ac:dyDescent="0.55000000000000004">
      <c r="A14" s="4" t="s">
        <v>11</v>
      </c>
      <c r="B14" s="11">
        <v>500</v>
      </c>
      <c r="C14" s="11">
        <v>300</v>
      </c>
      <c r="D14" s="11">
        <v>430</v>
      </c>
      <c r="E14" s="11">
        <v>200</v>
      </c>
      <c r="F14" s="11">
        <v>700</v>
      </c>
      <c r="G14" s="11">
        <v>640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518A-3E42-4A3C-93B0-ABDDDC215701}">
  <dimension ref="A1:C10"/>
  <sheetViews>
    <sheetView workbookViewId="0">
      <selection activeCell="C2" sqref="C2:C10"/>
    </sheetView>
  </sheetViews>
  <sheetFormatPr defaultColWidth="9.15625" defaultRowHeight="14.4" x14ac:dyDescent="0.55000000000000004"/>
  <cols>
    <col min="1" max="1" width="9.15625" style="15"/>
    <col min="2" max="2" width="23.26171875" style="15" bestFit="1" customWidth="1"/>
    <col min="3" max="3" width="17.26171875" style="16" customWidth="1"/>
    <col min="4" max="16384" width="9.15625" style="15"/>
  </cols>
  <sheetData>
    <row r="1" spans="1:3" x14ac:dyDescent="0.55000000000000004">
      <c r="A1" s="19" t="s">
        <v>17</v>
      </c>
      <c r="B1" s="19" t="s">
        <v>18</v>
      </c>
      <c r="C1" s="20" t="s">
        <v>19</v>
      </c>
    </row>
    <row r="2" spans="1:3" x14ac:dyDescent="0.55000000000000004">
      <c r="A2" s="17">
        <v>1011</v>
      </c>
      <c r="B2" s="17" t="s">
        <v>25</v>
      </c>
      <c r="C2" s="18">
        <v>12</v>
      </c>
    </row>
    <row r="3" spans="1:3" x14ac:dyDescent="0.55000000000000004">
      <c r="A3" s="17">
        <v>1012</v>
      </c>
      <c r="B3" s="17" t="s">
        <v>26</v>
      </c>
      <c r="C3" s="18">
        <v>12</v>
      </c>
    </row>
    <row r="4" spans="1:3" x14ac:dyDescent="0.55000000000000004">
      <c r="A4" s="17">
        <v>1013</v>
      </c>
      <c r="B4" s="17" t="s">
        <v>27</v>
      </c>
      <c r="C4" s="18">
        <v>12</v>
      </c>
    </row>
    <row r="5" spans="1:3" x14ac:dyDescent="0.55000000000000004">
      <c r="A5" s="17">
        <v>1014</v>
      </c>
      <c r="B5" s="17" t="s">
        <v>28</v>
      </c>
      <c r="C5" s="18">
        <v>12</v>
      </c>
    </row>
    <row r="6" spans="1:3" x14ac:dyDescent="0.55000000000000004">
      <c r="A6" s="17">
        <v>1015</v>
      </c>
      <c r="B6" s="17" t="s">
        <v>29</v>
      </c>
      <c r="C6" s="18">
        <v>12</v>
      </c>
    </row>
    <row r="7" spans="1:3" x14ac:dyDescent="0.55000000000000004">
      <c r="A7" s="17">
        <v>1016</v>
      </c>
      <c r="B7" s="17" t="s">
        <v>30</v>
      </c>
      <c r="C7" s="18">
        <v>12</v>
      </c>
    </row>
    <row r="8" spans="1:3" x14ac:dyDescent="0.55000000000000004">
      <c r="A8" s="17">
        <v>1017</v>
      </c>
      <c r="B8" s="17" t="s">
        <v>31</v>
      </c>
      <c r="C8" s="18">
        <v>12</v>
      </c>
    </row>
    <row r="9" spans="1:3" x14ac:dyDescent="0.55000000000000004">
      <c r="A9" s="17">
        <v>1018</v>
      </c>
      <c r="B9" s="17" t="s">
        <v>32</v>
      </c>
      <c r="C9" s="18">
        <v>12</v>
      </c>
    </row>
    <row r="10" spans="1:3" x14ac:dyDescent="0.55000000000000004">
      <c r="A10" s="17">
        <v>1019</v>
      </c>
      <c r="B10" s="17" t="s">
        <v>33</v>
      </c>
      <c r="C10" s="1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sqref="A1:A1048576"/>
    </sheetView>
  </sheetViews>
  <sheetFormatPr defaultColWidth="9.15625" defaultRowHeight="14.4" x14ac:dyDescent="0.55000000000000004"/>
  <cols>
    <col min="1" max="1" width="26" style="21" customWidth="1"/>
    <col min="2" max="2" width="15.68359375" style="21" customWidth="1"/>
    <col min="3" max="3" width="9.15625" style="21"/>
    <col min="4" max="4" width="23.26171875" style="21" bestFit="1" customWidth="1"/>
    <col min="5" max="16384" width="9.15625" style="21"/>
  </cols>
  <sheetData>
    <row r="1" spans="1:5" x14ac:dyDescent="0.55000000000000004">
      <c r="A1" s="24" t="s">
        <v>41</v>
      </c>
      <c r="B1" s="25" t="s">
        <v>46</v>
      </c>
      <c r="C1" s="25" t="s">
        <v>17</v>
      </c>
      <c r="D1" s="25" t="s">
        <v>18</v>
      </c>
      <c r="E1" s="25" t="s">
        <v>45</v>
      </c>
    </row>
    <row r="2" spans="1:5" x14ac:dyDescent="0.55000000000000004">
      <c r="A2" s="23">
        <v>43646</v>
      </c>
      <c r="B2" s="22" t="s">
        <v>42</v>
      </c>
      <c r="C2" s="22">
        <v>1007</v>
      </c>
      <c r="D2" s="22" t="s">
        <v>22</v>
      </c>
      <c r="E2" s="22">
        <v>30</v>
      </c>
    </row>
    <row r="3" spans="1:5" x14ac:dyDescent="0.55000000000000004">
      <c r="A3" s="23">
        <v>43646</v>
      </c>
      <c r="B3" s="22" t="s">
        <v>42</v>
      </c>
      <c r="C3" s="22">
        <v>1008</v>
      </c>
      <c r="D3" s="22" t="s">
        <v>23</v>
      </c>
      <c r="E3" s="22">
        <v>15</v>
      </c>
    </row>
    <row r="4" spans="1:5" x14ac:dyDescent="0.55000000000000004">
      <c r="A4" s="23">
        <v>43646</v>
      </c>
      <c r="B4" s="22" t="s">
        <v>42</v>
      </c>
      <c r="C4" s="22">
        <v>1009</v>
      </c>
      <c r="D4" s="22" t="s">
        <v>24</v>
      </c>
      <c r="E4" s="22">
        <v>15</v>
      </c>
    </row>
    <row r="5" spans="1:5" x14ac:dyDescent="0.55000000000000004">
      <c r="A5" s="26">
        <v>43646</v>
      </c>
      <c r="B5" s="22" t="s">
        <v>44</v>
      </c>
      <c r="C5" s="22">
        <v>1029</v>
      </c>
      <c r="D5" s="22" t="s">
        <v>34</v>
      </c>
      <c r="E5" s="22">
        <v>35</v>
      </c>
    </row>
    <row r="6" spans="1:5" x14ac:dyDescent="0.55000000000000004">
      <c r="A6" s="26">
        <v>43646</v>
      </c>
      <c r="B6" s="22" t="s">
        <v>44</v>
      </c>
      <c r="C6" s="22">
        <v>1033</v>
      </c>
      <c r="D6" s="22" t="s">
        <v>35</v>
      </c>
      <c r="E6" s="22">
        <v>35</v>
      </c>
    </row>
    <row r="7" spans="1:5" x14ac:dyDescent="0.55000000000000004">
      <c r="A7" s="26">
        <v>43646</v>
      </c>
      <c r="B7" s="22" t="s">
        <v>44</v>
      </c>
      <c r="C7" s="22">
        <v>1034</v>
      </c>
      <c r="D7" s="22" t="s">
        <v>36</v>
      </c>
      <c r="E7" s="22">
        <v>35</v>
      </c>
    </row>
    <row r="8" spans="1:5" x14ac:dyDescent="0.55000000000000004">
      <c r="A8" s="27">
        <v>43646</v>
      </c>
      <c r="B8" s="22" t="s">
        <v>44</v>
      </c>
      <c r="C8" s="22">
        <v>1035</v>
      </c>
      <c r="D8" s="22" t="s">
        <v>37</v>
      </c>
      <c r="E8" s="22">
        <v>35</v>
      </c>
    </row>
    <row r="9" spans="1:5" x14ac:dyDescent="0.55000000000000004">
      <c r="A9" s="27">
        <v>43646</v>
      </c>
      <c r="B9" s="22" t="s">
        <v>44</v>
      </c>
      <c r="C9" s="22">
        <v>1036</v>
      </c>
      <c r="D9" s="22" t="s">
        <v>38</v>
      </c>
      <c r="E9" s="22">
        <v>35</v>
      </c>
    </row>
    <row r="10" spans="1:5" x14ac:dyDescent="0.55000000000000004">
      <c r="A10" s="23">
        <v>43646</v>
      </c>
      <c r="B10" s="22" t="s">
        <v>44</v>
      </c>
      <c r="C10" s="22">
        <v>1042</v>
      </c>
      <c r="D10" s="22" t="s">
        <v>39</v>
      </c>
      <c r="E10" s="22">
        <v>35</v>
      </c>
    </row>
    <row r="11" spans="1:5" x14ac:dyDescent="0.55000000000000004">
      <c r="A11" s="23">
        <v>43646</v>
      </c>
      <c r="B11" s="22" t="s">
        <v>44</v>
      </c>
      <c r="C11" s="22">
        <v>1043</v>
      </c>
      <c r="D11" s="22" t="s">
        <v>40</v>
      </c>
      <c r="E11" s="22">
        <v>35</v>
      </c>
    </row>
    <row r="12" spans="1:5" x14ac:dyDescent="0.55000000000000004">
      <c r="A12" s="23">
        <v>43649</v>
      </c>
      <c r="B12" s="22" t="s">
        <v>43</v>
      </c>
      <c r="C12" s="22">
        <v>1001</v>
      </c>
      <c r="D12" s="22" t="s">
        <v>20</v>
      </c>
      <c r="E12" s="22">
        <v>5</v>
      </c>
    </row>
    <row r="13" spans="1:5" x14ac:dyDescent="0.55000000000000004">
      <c r="A13" s="23">
        <v>43649</v>
      </c>
      <c r="B13" s="22" t="s">
        <v>43</v>
      </c>
      <c r="C13" s="22">
        <v>1002</v>
      </c>
      <c r="D13" s="22" t="s">
        <v>21</v>
      </c>
      <c r="E13" s="22">
        <v>20</v>
      </c>
    </row>
  </sheetData>
  <conditionalFormatting sqref="A1:E1">
    <cfRule type="containsText" dxfId="2" priority="1" operator="containsText" text="return excess">
      <formula>NOT(ISERROR(SEARCH("return excess",A1)))</formula>
    </cfRule>
    <cfRule type="containsText" dxfId="1" priority="2" operator="containsText" text="order pending">
      <formula>NOT(ISERROR(SEARCH("order pending",A1)))</formula>
    </cfRule>
    <cfRule type="containsText" dxfId="0" priority="3" operator="containsText" text="contact vendor">
      <formula>NOT(ISERROR(SEARCH("contact vendor",A1)))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Jan-Jun</vt:lpstr>
      <vt:lpstr>Jul-Dec</vt:lpstr>
      <vt:lpstr>Prices</vt:lpstr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 Manning</dc:creator>
  <cp:lastModifiedBy>Cheri Manning</cp:lastModifiedBy>
  <dcterms:created xsi:type="dcterms:W3CDTF">2015-10-01T19:57:48Z</dcterms:created>
  <dcterms:modified xsi:type="dcterms:W3CDTF">2019-01-22T15:13:24Z</dcterms:modified>
</cp:coreProperties>
</file>