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oluwatimilehinaramide/Documents/MUN/Winter 2026/Busi2720/Assignment4/"/>
    </mc:Choice>
  </mc:AlternateContent>
  <xr:revisionPtr revIDLastSave="0" documentId="13_ncr:1_{68770EEA-6A74-6044-A87D-E120CB71C69C}" xr6:coauthVersionLast="47" xr6:coauthVersionMax="47" xr10:uidLastSave="{00000000-0000-0000-0000-000000000000}"/>
  <bookViews>
    <workbookView xWindow="0" yWindow="740" windowWidth="29400" windowHeight="18380" firstSheet="4" activeTab="7" xr2:uid="{B46FB3A0-311A-9C45-968F-59C0B2E746CC}"/>
  </bookViews>
  <sheets>
    <sheet name="Pivot - total revenue" sheetId="10" r:id="rId1"/>
    <sheet name="Pivot - average ROI" sheetId="11" r:id="rId2"/>
    <sheet name="Pivot - CPA " sheetId="12" r:id="rId3"/>
    <sheet name="Pivot - Profitable Region" sheetId="13" r:id="rId4"/>
    <sheet name="Pivot - Marketing" sheetId="14" r:id="rId5"/>
    <sheet name="Pivot - Campaigns by Profit" sheetId="15" r:id="rId6"/>
    <sheet name="Pivot - Negative ROI" sheetId="16" r:id="rId7"/>
    <sheet name="Sheet1" sheetId="1" r:id="rId8"/>
  </sheets>
  <calcPr calcId="191029"/>
  <pivotCaches>
    <pivotCache cacheId="4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995" i="1"/>
  <c r="M996" i="1"/>
  <c r="M997" i="1"/>
  <c r="M998" i="1"/>
  <c r="M999" i="1"/>
  <c r="M1000" i="1"/>
  <c r="M1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2" i="1"/>
</calcChain>
</file>

<file path=xl/sharedStrings.xml><?xml version="1.0" encoding="utf-8"?>
<sst xmlns="http://schemas.openxmlformats.org/spreadsheetml/2006/main" count="6099" uniqueCount="1061">
  <si>
    <t>Date</t>
  </si>
  <si>
    <t>Campaign_ID</t>
  </si>
  <si>
    <t>Campaign</t>
  </si>
  <si>
    <t>Channel</t>
  </si>
  <si>
    <t>Objective</t>
  </si>
  <si>
    <t>Region</t>
  </si>
  <si>
    <t>Device</t>
  </si>
  <si>
    <t>Impressions</t>
  </si>
  <si>
    <t>Clicks</t>
  </si>
  <si>
    <t>Conversions</t>
  </si>
  <si>
    <t>Ad_Spend_CAD</t>
  </si>
  <si>
    <t>Revenue_CAD</t>
  </si>
  <si>
    <t>C0001</t>
  </si>
  <si>
    <t>Display - Remarketing</t>
  </si>
  <si>
    <t>Google Ads</t>
  </si>
  <si>
    <t>Brand Awareness</t>
  </si>
  <si>
    <t>Atlantic</t>
  </si>
  <si>
    <t>Mobile</t>
  </si>
  <si>
    <t>C0002</t>
  </si>
  <si>
    <t>Shopping - Top Sellers</t>
  </si>
  <si>
    <t>Prospecting</t>
  </si>
  <si>
    <t>Desktop</t>
  </si>
  <si>
    <t>C0003</t>
  </si>
  <si>
    <t>Email - Product Drop</t>
  </si>
  <si>
    <t>Email</t>
  </si>
  <si>
    <t>Tablet</t>
  </si>
  <si>
    <t>C0004</t>
  </si>
  <si>
    <t>IG Reels - Winter</t>
  </si>
  <si>
    <t>Instagram</t>
  </si>
  <si>
    <t>Quebec</t>
  </si>
  <si>
    <t>C0005</t>
  </si>
  <si>
    <t>Retargeting</t>
  </si>
  <si>
    <t>C0006</t>
  </si>
  <si>
    <t>IG Feed - Promo</t>
  </si>
  <si>
    <t>Prairies</t>
  </si>
  <si>
    <t>C0007</t>
  </si>
  <si>
    <t>LI Lead Gen</t>
  </si>
  <si>
    <t>LinkedIn</t>
  </si>
  <si>
    <t>C0008</t>
  </si>
  <si>
    <t>IG Stories - New Arrivals</t>
  </si>
  <si>
    <t>C0009</t>
  </si>
  <si>
    <t>Email - Abandoned Cart</t>
  </si>
  <si>
    <t>C0010</t>
  </si>
  <si>
    <t>LI Retargeting</t>
  </si>
  <si>
    <t>C0011</t>
  </si>
  <si>
    <t>FB Carousel - Catalog</t>
  </si>
  <si>
    <t>Facebook</t>
  </si>
  <si>
    <t>BC</t>
  </si>
  <si>
    <t>C0012</t>
  </si>
  <si>
    <t>FB Video - Brand</t>
  </si>
  <si>
    <t>Ontario</t>
  </si>
  <si>
    <t>C0013</t>
  </si>
  <si>
    <t>Email - Newsletter</t>
  </si>
  <si>
    <t>C0014</t>
  </si>
  <si>
    <t>Search - Brand</t>
  </si>
  <si>
    <t>C0015</t>
  </si>
  <si>
    <t>C0016</t>
  </si>
  <si>
    <t>C0017</t>
  </si>
  <si>
    <t>LI Brand Thought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</si>
  <si>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</si>
  <si>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</si>
  <si>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</si>
  <si>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</si>
  <si>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</si>
  <si>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</si>
  <si>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</si>
  <si>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</si>
  <si>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</si>
  <si>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</si>
  <si>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</si>
  <si>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</si>
  <si>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LI Sponsored Content</t>
  </si>
  <si>
    <t>C0030</t>
  </si>
  <si>
    <t>C0031</t>
  </si>
  <si>
    <t>IG Influencer Boost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</si>
  <si>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</si>
  <si>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</si>
  <si>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</si>
  <si>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</si>
  <si>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</si>
  <si>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</si>
  <si>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</si>
  <si>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</si>
  <si>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</si>
  <si>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</si>
  <si>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</si>
  <si>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</si>
  <si>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</si>
  <si>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</si>
  <si>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</si>
  <si>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</si>
  <si>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</si>
  <si>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</si>
  <si>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</si>
  <si>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</si>
  <si>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</si>
  <si>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</si>
  <si>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FB Feed - Promo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</si>
  <si>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</si>
  <si>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</si>
  <si>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</si>
  <si>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</si>
  <si>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</si>
  <si>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</si>
  <si>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</si>
  <si>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</si>
  <si>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</si>
  <si>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</si>
  <si>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</si>
  <si>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</si>
  <si>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Email - Winback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</si>
  <si>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</si>
  <si>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</si>
  <si>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</si>
  <si>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</si>
  <si>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</si>
  <si>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</si>
  <si>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</si>
  <si>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</si>
  <si>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</si>
  <si>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Search - Generic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</si>
  <si>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</si>
  <si>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</si>
  <si>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</si>
  <si>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</si>
  <si>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</si>
  <si>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</si>
  <si>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</si>
  <si>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</si>
  <si>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</si>
  <si>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</si>
  <si>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</si>
  <si>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</si>
  <si>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</si>
  <si>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</si>
  <si>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</si>
  <si>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</si>
  <si>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</si>
  <si>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</si>
  <si>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</si>
  <si>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</si>
  <si>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</si>
  <si>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</si>
  <si>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</si>
  <si>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</si>
  <si>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</si>
  <si>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</si>
  <si>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</si>
  <si>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</si>
  <si>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</si>
  <si>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</si>
  <si>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</si>
  <si>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</si>
  <si>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</si>
  <si>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</si>
  <si>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</si>
  <si>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FB Remarketing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</si>
  <si>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</si>
  <si>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</si>
  <si>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</si>
  <si>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</si>
  <si>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</si>
  <si>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</si>
  <si>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</si>
  <si>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</si>
  <si>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</si>
  <si>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</si>
  <si>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</si>
  <si>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</si>
  <si>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</si>
  <si>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</si>
  <si>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</si>
  <si>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</si>
  <si>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</si>
  <si>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</si>
  <si>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</si>
  <si>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</si>
  <si>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</si>
  <si>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</si>
  <si>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</si>
  <si>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</si>
  <si>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</si>
  <si>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</si>
  <si>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</si>
  <si>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</si>
  <si>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</si>
  <si>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</si>
  <si>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</si>
  <si>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</si>
  <si>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</si>
  <si>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</si>
  <si>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</si>
  <si>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</si>
  <si>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</si>
  <si>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</si>
  <si>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</si>
  <si>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</si>
  <si>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</si>
  <si>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</si>
  <si>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</si>
  <si>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</si>
  <si>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</si>
  <si>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</si>
  <si>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</si>
  <si>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</si>
  <si>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</si>
  <si>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</si>
  <si>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</si>
  <si>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</si>
  <si>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</si>
  <si>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</si>
  <si>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</si>
  <si>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</si>
  <si>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</si>
  <si>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</si>
  <si>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</si>
  <si>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</si>
  <si>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</si>
  <si>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</si>
  <si>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</si>
  <si>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</si>
  <si>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</si>
  <si>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</si>
  <si>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</si>
  <si>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</si>
  <si>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</si>
  <si>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</si>
  <si>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</si>
  <si>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</si>
  <si>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</si>
  <si>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</si>
  <si>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</si>
  <si>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</si>
  <si>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</si>
  <si>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</si>
  <si>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</si>
  <si>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</si>
  <si>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</si>
  <si>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</si>
  <si>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</si>
  <si>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</si>
  <si>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</si>
  <si>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</si>
  <si>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</si>
  <si>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</si>
  <si>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</si>
  <si>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</si>
  <si>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</si>
  <si>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</si>
  <si>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</si>
  <si>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</si>
  <si>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</si>
  <si>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</si>
  <si>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</si>
  <si>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</si>
  <si>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</si>
  <si>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</si>
  <si>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</si>
  <si>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</si>
  <si>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</si>
  <si>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</si>
  <si>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</si>
  <si>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</si>
  <si>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</si>
  <si>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</si>
  <si>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</si>
  <si>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</si>
  <si>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</si>
  <si>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</si>
  <si>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</si>
  <si>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</si>
  <si>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</si>
  <si>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</si>
  <si>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</si>
  <si>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</si>
  <si>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</si>
  <si>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</si>
  <si>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</si>
  <si>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</si>
  <si>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</si>
  <si>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</si>
  <si>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</si>
  <si>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</si>
  <si>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</si>
  <si>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</si>
  <si>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</si>
  <si>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</si>
  <si>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</si>
  <si>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</si>
  <si>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</si>
  <si>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</si>
  <si>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</si>
  <si>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</si>
  <si>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</si>
  <si>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</si>
  <si>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</si>
  <si>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</si>
  <si>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</si>
  <si>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</si>
  <si>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</si>
  <si>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</si>
  <si>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</si>
  <si>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</si>
  <si>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</si>
  <si>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</si>
  <si>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</si>
  <si>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</si>
  <si>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</si>
  <si>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</si>
  <si>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</si>
  <si>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</si>
  <si>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</si>
  <si>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</si>
  <si>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</si>
  <si>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</si>
  <si>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</si>
  <si>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</si>
  <si>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</si>
  <si>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</si>
  <si>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</si>
  <si>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</si>
  <si>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</si>
  <si>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</si>
  <si>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</si>
  <si>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</si>
  <si>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</si>
  <si>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</si>
  <si>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</si>
  <si>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</si>
  <si>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</si>
  <si>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</si>
  <si>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</si>
  <si>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</si>
  <si>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</si>
  <si>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</si>
  <si>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</si>
  <si>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</si>
  <si>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</si>
  <si>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</si>
  <si>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</si>
  <si>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</si>
  <si>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</si>
  <si>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</si>
  <si>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</si>
  <si>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</si>
  <si>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</si>
  <si>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</si>
  <si>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</si>
  <si>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</si>
  <si>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</si>
  <si>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</si>
  <si>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</si>
  <si>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</si>
  <si>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</si>
  <si>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</si>
  <si>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</si>
  <si>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</si>
  <si>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</si>
  <si>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</si>
  <si>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</si>
  <si>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</si>
  <si>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</si>
  <si>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</si>
  <si>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</si>
  <si>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</si>
  <si>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</si>
  <si>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</si>
  <si>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</si>
  <si>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</si>
  <si>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</si>
  <si>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</si>
  <si>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</si>
  <si>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</si>
  <si>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</si>
  <si>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</si>
  <si>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</si>
  <si>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</si>
  <si>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</si>
  <si>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</si>
  <si>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</si>
  <si>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</si>
  <si>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</si>
  <si>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</si>
  <si>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</si>
  <si>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</si>
  <si>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</si>
  <si>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</si>
  <si>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</si>
  <si>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</si>
  <si>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</si>
  <si>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</si>
  <si>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</si>
  <si>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</si>
  <si>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</si>
  <si>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</si>
  <si>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</si>
  <si>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</si>
  <si>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</si>
  <si>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</si>
  <si>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</si>
  <si>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</si>
  <si>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</si>
  <si>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</si>
  <si>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</si>
  <si>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</si>
  <si>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</si>
  <si>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</si>
  <si>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</si>
  <si>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</si>
  <si>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</si>
  <si>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</si>
  <si>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</si>
  <si>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</si>
  <si>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</si>
  <si>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</si>
  <si>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</si>
  <si>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</si>
  <si>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</si>
  <si>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</si>
  <si>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</si>
  <si>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</si>
  <si>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</si>
  <si>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</si>
  <si>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</si>
  <si>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</si>
  <si>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</si>
  <si>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</si>
  <si>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</si>
  <si>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</si>
  <si>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</si>
  <si>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</si>
  <si>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</si>
  <si>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</si>
  <si>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</si>
  <si>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</si>
  <si>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</si>
  <si>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</si>
  <si>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</si>
  <si>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</si>
  <si>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</si>
  <si>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</si>
  <si>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</si>
  <si>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</si>
  <si>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</si>
  <si>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</si>
  <si>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</si>
  <si>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</si>
  <si>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</si>
  <si>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</si>
  <si>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</si>
  <si>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</si>
  <si>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</si>
  <si>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</si>
  <si>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</si>
  <si>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</si>
  <si>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</si>
  <si>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</si>
  <si>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</si>
  <si>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</si>
  <si>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</si>
  <si>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</si>
  <si>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</si>
  <si>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</si>
  <si>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</si>
  <si>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</si>
  <si>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</si>
  <si>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</si>
  <si>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</si>
  <si>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</si>
  <si>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</si>
  <si>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</si>
  <si>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</si>
  <si>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</si>
  <si>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</si>
  <si>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</si>
  <si>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</si>
  <si>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</si>
  <si>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</si>
  <si>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</si>
  <si>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</si>
  <si>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</si>
  <si>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</si>
  <si>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</si>
  <si>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</si>
  <si>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</si>
  <si>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</si>
  <si>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</si>
  <si>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</si>
  <si>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</si>
  <si>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</si>
  <si>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</si>
  <si>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</si>
  <si>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</si>
  <si>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</si>
  <si>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</si>
  <si>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</si>
  <si>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</si>
  <si>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</si>
  <si>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</si>
  <si>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</si>
  <si>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</si>
  <si>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</si>
  <si>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</si>
  <si>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</si>
  <si>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</si>
  <si>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</si>
  <si>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</si>
  <si>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</si>
  <si>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</si>
  <si>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</si>
  <si>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</si>
  <si>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</si>
  <si>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</si>
  <si>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</si>
  <si>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</si>
  <si>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</si>
  <si>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</si>
  <si>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</si>
  <si>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</si>
  <si>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</si>
  <si>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</si>
  <si>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</si>
  <si>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</si>
  <si>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</si>
  <si>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</si>
  <si>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</si>
  <si>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</si>
  <si>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</si>
  <si>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</si>
  <si>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</si>
  <si>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</si>
  <si>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</si>
  <si>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</si>
  <si>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</si>
  <si>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</si>
  <si>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</si>
  <si>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</si>
  <si>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</si>
  <si>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</si>
  <si>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</si>
  <si>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</si>
  <si>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</si>
  <si>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</si>
  <si>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</si>
  <si>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</si>
  <si>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</si>
  <si>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</si>
  <si>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</si>
  <si>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C0889</t>
  </si>
  <si>
    <t>C0620</t>
  </si>
  <si>
    <t>C0919</t>
  </si>
  <si>
    <t>C0997</t>
  </si>
  <si>
    <t>C0882</t>
  </si>
  <si>
    <t>C0824</t>
  </si>
  <si>
    <t>C0764</t>
  </si>
  <si>
    <t>C0810</t>
  </si>
  <si>
    <t>C0852</t>
  </si>
  <si>
    <t>C0984</t>
  </si>
  <si>
    <t>C0646</t>
  </si>
  <si>
    <t>C0740</t>
  </si>
  <si>
    <t>C0739</t>
  </si>
  <si>
    <t>C0976</t>
  </si>
  <si>
    <t>C0966</t>
  </si>
  <si>
    <t>C0511</t>
  </si>
  <si>
    <t>C0747</t>
  </si>
  <si>
    <t>C0603</t>
  </si>
  <si>
    <t>C0723</t>
  </si>
  <si>
    <t>C0574</t>
  </si>
  <si>
    <t>C0677</t>
  </si>
  <si>
    <t>C0531</t>
  </si>
  <si>
    <t>C0724</t>
  </si>
  <si>
    <t>C0955</t>
  </si>
  <si>
    <t>C0834</t>
  </si>
  <si>
    <t>C0571</t>
  </si>
  <si>
    <t>C0551</t>
  </si>
  <si>
    <t>C0547</t>
  </si>
  <si>
    <t>C0542</t>
  </si>
  <si>
    <t>C0768</t>
  </si>
  <si>
    <t>C0892</t>
  </si>
  <si>
    <t>C0684</t>
  </si>
  <si>
    <t>C0686</t>
  </si>
  <si>
    <t>C0573</t>
  </si>
  <si>
    <t>C0750</t>
  </si>
  <si>
    <t>C0896</t>
  </si>
  <si>
    <t>C0636</t>
  </si>
  <si>
    <t>C0952</t>
  </si>
  <si>
    <t>C0694</t>
  </si>
  <si>
    <t>C0617</t>
  </si>
  <si>
    <t>C0865</t>
  </si>
  <si>
    <t>C0582</t>
  </si>
  <si>
    <t>C0935</t>
  </si>
  <si>
    <t>C0933</t>
  </si>
  <si>
    <t>C0733</t>
  </si>
  <si>
    <t>C0925</t>
  </si>
  <si>
    <t>C0657</t>
  </si>
  <si>
    <t>C0826</t>
  </si>
  <si>
    <t>C0863</t>
  </si>
  <si>
    <t>C0828</t>
  </si>
  <si>
    <t>C0874</t>
  </si>
  <si>
    <t>C0948</t>
  </si>
  <si>
    <t>C0969</t>
  </si>
  <si>
    <t>C0507</t>
  </si>
  <si>
    <t>C0845</t>
  </si>
  <si>
    <t>C0837</t>
  </si>
  <si>
    <t>C0835</t>
  </si>
  <si>
    <t>C0515</t>
  </si>
  <si>
    <t>C0806</t>
  </si>
  <si>
    <t>C0524</t>
  </si>
  <si>
    <t>C0564</t>
  </si>
  <si>
    <t>C0605</t>
  </si>
  <si>
    <t>C0954</t>
  </si>
  <si>
    <t>C0674</t>
  </si>
  <si>
    <t>C0883</t>
  </si>
  <si>
    <t>C0803</t>
  </si>
  <si>
    <t>C0941</t>
  </si>
  <si>
    <t>C0930</t>
  </si>
  <si>
    <t>C0853</t>
  </si>
  <si>
    <t>C0591</t>
  </si>
  <si>
    <t>C0917</t>
  </si>
  <si>
    <t>C0640</t>
  </si>
  <si>
    <t>C0985</t>
  </si>
  <si>
    <t>C0781</t>
  </si>
  <si>
    <t>C0765</t>
  </si>
  <si>
    <t>C0676</t>
  </si>
  <si>
    <t>C0816</t>
  </si>
  <si>
    <t>C0566</t>
  </si>
  <si>
    <t>C0777</t>
  </si>
  <si>
    <t>C0540</t>
  </si>
  <si>
    <t>C0796</t>
  </si>
  <si>
    <t>C0575</t>
  </si>
  <si>
    <t>C0643</t>
  </si>
  <si>
    <t>C0953</t>
  </si>
  <si>
    <t>C0864</t>
  </si>
  <si>
    <t>C0716</t>
  </si>
  <si>
    <t>C0916</t>
  </si>
  <si>
    <t>C0838</t>
  </si>
  <si>
    <t>C0799</t>
  </si>
  <si>
    <t>C0572</t>
  </si>
  <si>
    <t>C0778</t>
  </si>
  <si>
    <t>C0593</t>
  </si>
  <si>
    <t>C0844</t>
  </si>
  <si>
    <t>C0912</t>
  </si>
  <si>
    <t>C0666</t>
  </si>
  <si>
    <t>C0619</t>
  </si>
  <si>
    <t>C0772</t>
  </si>
  <si>
    <t>C0592</t>
  </si>
  <si>
    <t>C0964</t>
  </si>
  <si>
    <t>C0655</t>
  </si>
  <si>
    <t>C0934</t>
  </si>
  <si>
    <t>C0576</t>
  </si>
  <si>
    <t>C0721</t>
  </si>
  <si>
    <t>C0675</t>
  </si>
  <si>
    <t>C0975</t>
  </si>
  <si>
    <t>C0664</t>
  </si>
  <si>
    <t>C0634</t>
  </si>
  <si>
    <t>C0545</t>
  </si>
  <si>
    <t>C0516</t>
  </si>
  <si>
    <t>C0793</t>
  </si>
  <si>
    <t>C0822</t>
  </si>
  <si>
    <t>C0623</t>
  </si>
  <si>
    <t>C0959</t>
  </si>
  <si>
    <t>C0661</t>
  </si>
  <si>
    <t>C0654</t>
  </si>
  <si>
    <t>C0906</t>
  </si>
  <si>
    <t>C0672</t>
  </si>
  <si>
    <t>C0512</t>
  </si>
  <si>
    <t>C0699</t>
  </si>
  <si>
    <t>C0820</t>
  </si>
  <si>
    <t>C0539</t>
  </si>
  <si>
    <t>C0601</t>
  </si>
  <si>
    <t>C0554</t>
  </si>
  <si>
    <t>C0552</t>
  </si>
  <si>
    <t>C0785</t>
  </si>
  <si>
    <t>C0817</t>
  </si>
  <si>
    <t>C0802</t>
  </si>
  <si>
    <t>C0927</t>
  </si>
  <si>
    <t>C0606</t>
  </si>
  <si>
    <t>C0847</t>
  </si>
  <si>
    <t>C0861</t>
  </si>
  <si>
    <t>C0849</t>
  </si>
  <si>
    <t>C0982</t>
  </si>
  <si>
    <t>C0967</t>
  </si>
  <si>
    <t>C0668</t>
  </si>
  <si>
    <t>C0767</t>
  </si>
  <si>
    <t>C0949</t>
  </si>
  <si>
    <t>C0525</t>
  </si>
  <si>
    <t>C0742</t>
  </si>
  <si>
    <t>C0638</t>
  </si>
  <si>
    <t>C0504</t>
  </si>
  <si>
    <t>C0519</t>
  </si>
  <si>
    <t>C0587</t>
  </si>
  <si>
    <t>C0886</t>
  </si>
  <si>
    <t>C0611</t>
  </si>
  <si>
    <t>C0779</t>
  </si>
  <si>
    <t>C0783</t>
  </si>
  <si>
    <t>C0960</t>
  </si>
  <si>
    <t>C0848</t>
  </si>
  <si>
    <t>C0929</t>
  </si>
  <si>
    <t>C0790</t>
  </si>
  <si>
    <t>C0615</t>
  </si>
  <si>
    <t>C0527</t>
  </si>
  <si>
    <t>C0792</t>
  </si>
  <si>
    <t>C0789</t>
  </si>
  <si>
    <t>C0758</t>
  </si>
  <si>
    <t>C0631</t>
  </si>
  <si>
    <t>C0990</t>
  </si>
  <si>
    <t>C0989</t>
  </si>
  <si>
    <t>C0597</t>
  </si>
  <si>
    <t>C0749</t>
  </si>
  <si>
    <t>C0589</t>
  </si>
  <si>
    <t>C0567</t>
  </si>
  <si>
    <t>C0862</t>
  </si>
  <si>
    <t>C0868</t>
  </si>
  <si>
    <t>C0937</t>
  </si>
  <si>
    <t>C0728</t>
  </si>
  <si>
    <t>C0693</t>
  </si>
  <si>
    <t>C0656</t>
  </si>
  <si>
    <t>C0715</t>
  </si>
  <si>
    <t>C0708</t>
  </si>
  <si>
    <t>C0908</t>
  </si>
  <si>
    <t>C0945</t>
  </si>
  <si>
    <t>C0970</t>
  </si>
  <si>
    <t>C0891</t>
  </si>
  <si>
    <t>C0559</t>
  </si>
  <si>
    <t>C0718</t>
  </si>
  <si>
    <t>C0776</t>
  </si>
  <si>
    <t>C0986</t>
  </si>
  <si>
    <t>C0759</t>
  </si>
  <si>
    <t>C0501</t>
  </si>
  <si>
    <t>C0660</t>
  </si>
  <si>
    <t>C0653</t>
  </si>
  <si>
    <t>C0876</t>
  </si>
  <si>
    <t>C0628</t>
  </si>
  <si>
    <t>C0786</t>
  </si>
  <si>
    <t>C0871</t>
  </si>
  <si>
    <t>C0797</t>
  </si>
  <si>
    <t>C0701</t>
  </si>
  <si>
    <t>C0931</t>
  </si>
  <si>
    <t>C0744</t>
  </si>
  <si>
    <t>C0867</t>
  </si>
  <si>
    <t>C0665</t>
  </si>
  <si>
    <t>C0872</t>
  </si>
  <si>
    <t>C0508</t>
  </si>
  <si>
    <t>C0521</t>
  </si>
  <si>
    <t>C0801</t>
  </si>
  <si>
    <t>C0550</t>
  </si>
  <si>
    <t>C0669</t>
  </si>
  <si>
    <t>C0857</t>
  </si>
  <si>
    <t>C0996</t>
  </si>
  <si>
    <t>C0910</t>
  </si>
  <si>
    <t>C0622</t>
  </si>
  <si>
    <t>C0681</t>
  </si>
  <si>
    <t>C0612</t>
  </si>
  <si>
    <t>C0732</t>
  </si>
  <si>
    <t>C0745</t>
  </si>
  <si>
    <t>C0973</t>
  </si>
  <si>
    <t>C0700</t>
  </si>
  <si>
    <t>C0706</t>
  </si>
  <si>
    <t>C0751</t>
  </si>
  <si>
    <t>C0788</t>
  </si>
  <si>
    <t>C0645</t>
  </si>
  <si>
    <t>C0667</t>
  </si>
  <si>
    <t>C0544</t>
  </si>
  <si>
    <t>C0652</t>
  </si>
  <si>
    <t>C0663</t>
  </si>
  <si>
    <t>C0763</t>
  </si>
  <si>
    <t>C0727</t>
  </si>
  <si>
    <t>C0626</t>
  </si>
  <si>
    <t>C0821</t>
  </si>
  <si>
    <t>C0711</t>
  </si>
  <si>
    <t>C0650</t>
  </si>
  <si>
    <t>C0720</t>
  </si>
  <si>
    <t>C0981</t>
  </si>
  <si>
    <t>C0807</t>
  </si>
  <si>
    <t>C0773</t>
  </si>
  <si>
    <t>C0831</t>
  </si>
  <si>
    <t>C0893</t>
  </si>
  <si>
    <t>C0662</t>
  </si>
  <si>
    <t>C0647</t>
  </si>
  <si>
    <t>C0548</t>
  </si>
  <si>
    <t>C0900</t>
  </si>
  <si>
    <t>C0877</t>
  </si>
  <si>
    <t>C0563</t>
  </si>
  <si>
    <t>C0743</t>
  </si>
  <si>
    <t>C0761</t>
  </si>
  <si>
    <t>C0978</t>
  </si>
  <si>
    <t>C0924</t>
  </si>
  <si>
    <t>C0618</t>
  </si>
  <si>
    <t>C0688</t>
  </si>
  <si>
    <t>C0735</t>
  </si>
  <si>
    <t>C0878</t>
  </si>
  <si>
    <t>C0944</t>
  </si>
  <si>
    <t>C0928</t>
  </si>
  <si>
    <t>C0833</t>
  </si>
  <si>
    <t>C0649</t>
  </si>
  <si>
    <t>C0843</t>
  </si>
  <si>
    <t>C0904</t>
  </si>
  <si>
    <t>C0854</t>
  </si>
  <si>
    <t>C0608</t>
  </si>
  <si>
    <t>C0565</t>
  </si>
  <si>
    <t>C0680</t>
  </si>
  <si>
    <t>C0811</t>
  </si>
  <si>
    <t>C0692</t>
  </si>
  <si>
    <t>C0583</t>
  </si>
  <si>
    <t>C0911</t>
  </si>
  <si>
    <t>C0860</t>
  </si>
  <si>
    <t>C0855</t>
  </si>
  <si>
    <t>C0968</t>
  </si>
  <si>
    <t>C0757</t>
  </si>
  <si>
    <t>C0532</t>
  </si>
  <si>
    <t>C0503</t>
  </si>
  <si>
    <t>C0956</t>
  </si>
  <si>
    <t>C0950</t>
  </si>
  <si>
    <t>C0856</t>
  </si>
  <si>
    <t>C0610</t>
  </si>
  <si>
    <t>C0502</t>
  </si>
  <si>
    <t>C0812</t>
  </si>
  <si>
    <t>C0586</t>
  </si>
  <si>
    <t>C0627</t>
  </si>
  <si>
    <t>C0536</t>
  </si>
  <si>
    <t>C0884</t>
  </si>
  <si>
    <t>C0825</t>
  </si>
  <si>
    <t>C0965</t>
  </si>
  <si>
    <t>C0505</t>
  </si>
  <si>
    <t>C0921</t>
  </si>
  <si>
    <t>C0813</t>
  </si>
  <si>
    <t>C0534</t>
  </si>
  <si>
    <t>C0841</t>
  </si>
  <si>
    <t>C0697</t>
  </si>
  <si>
    <t>C0881</t>
  </si>
  <si>
    <t>C0815</t>
  </si>
  <si>
    <t>C0528</t>
  </si>
  <si>
    <t>C0983</t>
  </si>
  <si>
    <t>C0613</t>
  </si>
  <si>
    <t>C0923</t>
  </si>
  <si>
    <t>C0980</t>
  </si>
  <si>
    <t>C0614</t>
  </si>
  <si>
    <t>C0992</t>
  </si>
  <si>
    <t>C0962</t>
  </si>
  <si>
    <t>C0719</t>
  </si>
  <si>
    <t>C0961</t>
  </si>
  <si>
    <t>C0818</t>
  </si>
  <si>
    <t>C0895</t>
  </si>
  <si>
    <t>C0939</t>
  </si>
  <si>
    <t>C0814</t>
  </si>
  <si>
    <t>C0782</t>
  </si>
  <si>
    <t>C0979</t>
  </si>
  <si>
    <t>C0535</t>
  </si>
  <si>
    <t>C0696</t>
  </si>
  <si>
    <t>C0673</t>
  </si>
  <si>
    <t>C0827</t>
  </si>
  <si>
    <t>C0769</t>
  </si>
  <si>
    <t>C0887</t>
  </si>
  <si>
    <t>C0809</t>
  </si>
  <si>
    <t>C0907</t>
  </si>
  <si>
    <t>C0579</t>
  </si>
  <si>
    <t>C0943</t>
  </si>
  <si>
    <t>C0869</t>
  </si>
  <si>
    <t>C0685</t>
  </si>
  <si>
    <t>C0691</t>
  </si>
  <si>
    <t>C0880</t>
  </si>
  <si>
    <t>C0526</t>
  </si>
  <si>
    <t>C0905</t>
  </si>
  <si>
    <t>C0771</t>
  </si>
  <si>
    <t>C0529</t>
  </si>
  <si>
    <t>C0998</t>
  </si>
  <si>
    <t>C0670</t>
  </si>
  <si>
    <t>C0885</t>
  </si>
  <si>
    <t>C0570</t>
  </si>
  <si>
    <t>C0568</t>
  </si>
  <si>
    <t>C0546</t>
  </si>
  <si>
    <t>C0753</t>
  </si>
  <si>
    <t>C0510</t>
  </si>
  <si>
    <t>C0637</t>
  </si>
  <si>
    <t>C0898</t>
  </si>
  <si>
    <t>C0722</t>
  </si>
  <si>
    <t>C0830</t>
  </si>
  <si>
    <t>C0713</t>
  </si>
  <si>
    <t>C0578</t>
  </si>
  <si>
    <t>C0707</t>
  </si>
  <si>
    <t>C0914</t>
  </si>
  <si>
    <t>C0555</t>
  </si>
  <si>
    <t>C0659</t>
  </si>
  <si>
    <t>C0858</t>
  </si>
  <si>
    <t>C0560</t>
  </si>
  <si>
    <t>C0915</t>
  </si>
  <si>
    <t>C0846</t>
  </si>
  <si>
    <t>C0932</t>
  </si>
  <si>
    <t>C0679</t>
  </si>
  <si>
    <t>C0760</t>
  </si>
  <si>
    <t>C0936</t>
  </si>
  <si>
    <t>C0514</t>
  </si>
  <si>
    <t>C0533</t>
  </si>
  <si>
    <t>C0879</t>
  </si>
  <si>
    <t>C0621</t>
  </si>
  <si>
    <t>C0946</t>
  </si>
  <si>
    <t>C0754</t>
  </si>
  <si>
    <t>C0746</t>
  </si>
  <si>
    <t>C0897</t>
  </si>
  <si>
    <t>C1000</t>
  </si>
  <si>
    <t>C0644</t>
  </si>
  <si>
    <t>C0581</t>
  </si>
  <si>
    <t>C0580</t>
  </si>
  <si>
    <t>C0523</t>
  </si>
  <si>
    <t>C0808</t>
  </si>
  <si>
    <t>C0780</t>
  </si>
  <si>
    <t>C0994</t>
  </si>
  <si>
    <t>C0639</t>
  </si>
  <si>
    <t>C0549</t>
  </si>
  <si>
    <t>C0709</t>
  </si>
  <si>
    <t>C0604</t>
  </si>
  <si>
    <t>C0600</t>
  </si>
  <si>
    <t>C0594</t>
  </si>
  <si>
    <t>C0509</t>
  </si>
  <si>
    <t>C0556</t>
  </si>
  <si>
    <t>C0840</t>
  </si>
  <si>
    <t>C0770</t>
  </si>
  <si>
    <t>C0704</t>
  </si>
  <si>
    <t>C0823</t>
  </si>
  <si>
    <t>C0561</t>
  </si>
  <si>
    <t>C0832</t>
  </si>
  <si>
    <t>C0741</t>
  </si>
  <si>
    <t>C0538</t>
  </si>
  <si>
    <t>C0875</t>
  </si>
  <si>
    <t>C0584</t>
  </si>
  <si>
    <t>C0596</t>
  </si>
  <si>
    <t>C0705</t>
  </si>
  <si>
    <t>C0731</t>
  </si>
  <si>
    <t>C0737</t>
  </si>
  <si>
    <t>C0641</t>
  </si>
  <si>
    <t>C0635</t>
  </si>
  <si>
    <t>C0632</t>
  </si>
  <si>
    <t>C0888</t>
  </si>
  <si>
    <t>C0794</t>
  </si>
  <si>
    <t>C0648</t>
  </si>
  <si>
    <t>C0866</t>
  </si>
  <si>
    <t>C0974</t>
  </si>
  <si>
    <t>C0710</t>
  </si>
  <si>
    <t>C0940</t>
  </si>
  <si>
    <t>C0557</t>
  </si>
  <si>
    <t>C0787</t>
  </si>
  <si>
    <t>C0651</t>
  </si>
  <si>
    <t>C0922</t>
  </si>
  <si>
    <t>C0995</t>
  </si>
  <si>
    <t>C0738</t>
  </si>
  <si>
    <t>C0774</t>
  </si>
  <si>
    <t>C0851</t>
  </si>
  <si>
    <t>C0909</t>
  </si>
  <si>
    <t>C0642</t>
  </si>
  <si>
    <t>C0687</t>
  </si>
  <si>
    <t>C0543</t>
  </si>
  <si>
    <t>C0836</t>
  </si>
  <si>
    <t>C0522</t>
  </si>
  <si>
    <t>C0520</t>
  </si>
  <si>
    <t>C0682</t>
  </si>
  <si>
    <t>C0517</t>
  </si>
  <si>
    <t>C0585</t>
  </si>
  <si>
    <t>C0702</t>
  </si>
  <si>
    <t>C0795</t>
  </si>
  <si>
    <t>C0798</t>
  </si>
  <si>
    <t>C0562</t>
  </si>
  <si>
    <t>C0537</t>
  </si>
  <si>
    <t>C0784</t>
  </si>
  <si>
    <t>C0918</t>
  </si>
  <si>
    <t>C0977</t>
  </si>
  <si>
    <t>C0951</t>
  </si>
  <si>
    <t>C0988</t>
  </si>
  <si>
    <t>C0926</t>
  </si>
  <si>
    <t>C0957</t>
  </si>
  <si>
    <t>C0987</t>
  </si>
  <si>
    <t>C0607</t>
  </si>
  <si>
    <t>C0938</t>
  </si>
  <si>
    <t>C0850</t>
  </si>
  <si>
    <t>C0762</t>
  </si>
  <si>
    <t>C0839</t>
  </si>
  <si>
    <t>C0633</t>
  </si>
  <si>
    <t>C0518</t>
  </si>
  <si>
    <t>C0616</t>
  </si>
  <si>
    <t>C0729</t>
  </si>
  <si>
    <t>C0870</t>
  </si>
  <si>
    <t>C0766</t>
  </si>
  <si>
    <t>C0590</t>
  </si>
  <si>
    <t>C0963</t>
  </si>
  <si>
    <t>C0736</t>
  </si>
  <si>
    <t>C0598</t>
  </si>
  <si>
    <t>C0712</t>
  </si>
  <si>
    <t>C0873</t>
  </si>
  <si>
    <t>C0595</t>
  </si>
  <si>
    <t>C0991</t>
  </si>
  <si>
    <t>C0513</t>
  </si>
  <si>
    <t>C0972</t>
  </si>
  <si>
    <t>C0804</t>
  </si>
  <si>
    <t>C0805</t>
  </si>
  <si>
    <t>C0558</t>
  </si>
  <si>
    <t>C0942</t>
  </si>
  <si>
    <t>C0599</t>
  </si>
  <si>
    <t>C0800</t>
  </si>
  <si>
    <t>C0993</t>
  </si>
  <si>
    <t>C0819</t>
  </si>
  <si>
    <t>C0726</t>
  </si>
  <si>
    <t>C0899</t>
  </si>
  <si>
    <t>C0703</t>
  </si>
  <si>
    <t>C0791</t>
  </si>
  <si>
    <t>C0894</t>
  </si>
  <si>
    <t>C0671</t>
  </si>
  <si>
    <t>C0698</t>
  </si>
  <si>
    <t>C0541</t>
  </si>
  <si>
    <t>C0755</t>
  </si>
  <si>
    <t>C0734</t>
  </si>
  <si>
    <t>C0506</t>
  </si>
  <si>
    <t>C0630</t>
  </si>
  <si>
    <t>C0602</t>
  </si>
  <si>
    <t>C0748</t>
  </si>
  <si>
    <t>C0588</t>
  </si>
  <si>
    <t>C0999</t>
  </si>
  <si>
    <t>C0901</t>
  </si>
  <si>
    <t>C0903</t>
  </si>
  <si>
    <t>C0683</t>
  </si>
  <si>
    <t>C0756</t>
  </si>
  <si>
    <t>C0690</t>
  </si>
  <si>
    <t>C0609</t>
  </si>
  <si>
    <t>C0577</t>
  </si>
  <si>
    <t>C0842</t>
  </si>
  <si>
    <t>C0947</t>
  </si>
  <si>
    <t>C0553</t>
  </si>
  <si>
    <t>C0658</t>
  </si>
  <si>
    <t>C0971</t>
  </si>
  <si>
    <t>C0695</t>
  </si>
  <si>
    <t>C0902</t>
  </si>
  <si>
    <t>C0859</t>
  </si>
  <si>
    <t>C0689</t>
  </si>
  <si>
    <t>C0624</t>
  </si>
  <si>
    <t>C0752</t>
  </si>
  <si>
    <t>C0569</t>
  </si>
  <si>
    <t>C0958</t>
  </si>
  <si>
    <t>C0714</t>
  </si>
  <si>
    <t>C0890</t>
  </si>
  <si>
    <t>C0730</t>
  </si>
  <si>
    <t>C0775</t>
  </si>
  <si>
    <t>C0530</t>
  </si>
  <si>
    <t>C0717</t>
  </si>
  <si>
    <t>C0920</t>
  </si>
  <si>
    <t>C0913</t>
  </si>
  <si>
    <t>C0678</t>
  </si>
  <si>
    <t>C0725</t>
  </si>
  <si>
    <t>C0629</t>
  </si>
  <si>
    <t>C0829</t>
  </si>
  <si>
    <t>C0625</t>
  </si>
  <si>
    <t xml:space="preserve">CTR </t>
  </si>
  <si>
    <t>Conversion Rate</t>
  </si>
  <si>
    <t>CPA</t>
  </si>
  <si>
    <t>Profit</t>
  </si>
  <si>
    <t>ROI</t>
  </si>
  <si>
    <t>Row Labels</t>
  </si>
  <si>
    <t>Grand Total</t>
  </si>
  <si>
    <t>Sum of Revenue_CAD</t>
  </si>
  <si>
    <t>Sum of ROI</t>
  </si>
  <si>
    <t>Sum of Profit</t>
  </si>
  <si>
    <t>Average of ROI</t>
  </si>
  <si>
    <t>Average of CPA</t>
  </si>
  <si>
    <t>Sum of Ad_Spend_CAD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</si>
</sst>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&quot;$&quot;#,##0.00"/>
  </numFmts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7" fontId="2" fillId="0" borderId="0" xfId="1" applyNumberFormat="1" applyFont="1"/>
    <xf numFmtId="167" fontId="0" fillId="0" borderId="0" xfId="1" applyNumberFormat="1" applyFont="1"/>
    <xf numFmtId="167" fontId="1" fillId="0" borderId="0" xfId="1" applyNumberFormat="1" applyFont="1"/>
    <xf numFmtId="167" fontId="1" fillId="0" borderId="0" xfId="1" applyNumberFormat="1" applyFont="1" applyAlignment="1">
      <alignment horizontal="right"/>
    </xf>
    <xf numFmtId="167" fontId="2" fillId="0" borderId="0" xfId="0" applyNumberFormat="1" applyFont="1"/>
    <xf numFmtId="167" fontId="1" fillId="0" borderId="0" xfId="0" applyNumberFormat="1" applyFont="1"/>
    <xf numFmtId="167" fontId="1" fillId="0" borderId="0" xfId="0" applyNumberFormat="1" applyFont="1" applyAlignment="1">
      <alignment horizontal="right"/>
    </xf>
    <xf numFmtId="167" fontId="0" fillId="0" borderId="0" xfId="0" applyNumberFormat="1"/>
    <xf numFmtId="10" fontId="2" fillId="0" borderId="0" xfId="2" applyNumberFormat="1" applyFont="1"/>
    <xf numFmtId="10" fontId="0" fillId="0" borderId="0" xfId="2" applyNumberFormat="1" applyFont="1"/>
    <xf numFmtId="10" fontId="2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167" fontId="0" fillId="0" borderId="0" xfId="0" applyNumberFormat="1" applyFont="1"/>
    <xf numFmtId="0" fontId="4" fillId="2" borderId="0" xfId="0" applyFont="1" applyFill="1" applyAlignment="1">
      <alignment horizontal="left"/>
    </xf>
    <xf numFmtId="167" fontId="4" fillId="2" borderId="0" xfId="0" applyNumberFormat="1" applyFont="1" applyFill="1"/>
    <xf numFmtId="0" fontId="4" fillId="2" borderId="0" xfId="0" applyFont="1" applyFill="1"/>
    <xf numFmtId="0" fontId="4" fillId="0" borderId="0" xfId="0" applyFont="1" applyAlignment="1">
      <alignment horizontal="left"/>
    </xf>
    <xf numFmtId="167" fontId="4" fillId="0" borderId="0" xfId="0" applyNumberFormat="1" applyFont="1"/>
    <xf numFmtId="10" fontId="4" fillId="0" borderId="0" xfId="0" applyNumberFormat="1" applyFont="1"/>
    <xf numFmtId="0" fontId="4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4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theme="4" tint="0.39997558519241921"/>
      </font>
    </dxf>
    <dxf>
      <font>
        <color theme="1"/>
      </font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ont>
        <color theme="2"/>
      </font>
    </dxf>
    <dxf>
      <font>
        <color theme="1"/>
      </font>
    </dxf>
    <dxf>
      <font>
        <color theme="2"/>
      </font>
    </dxf>
    <dxf>
      <font>
        <color theme="1"/>
      </font>
    </dxf>
    <dxf>
      <font>
        <color theme="3"/>
      </font>
    </dxf>
    <dxf>
      <font>
        <color theme="3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numFmt numFmtId="14" formatCode="0.00%"/>
    </dxf>
    <dxf>
      <numFmt numFmtId="14" formatCode="0.00%"/>
    </dxf>
    <dxf>
      <numFmt numFmtId="168" formatCode="0.0"/>
    </dxf>
    <dxf>
      <numFmt numFmtId="168" formatCode="0.0"/>
    </dxf>
    <dxf>
      <numFmt numFmtId="14" formatCode="0.00%"/>
    </dxf>
    <dxf>
      <numFmt numFmtId="168" formatCode="0.0"/>
    </dxf>
    <dxf>
      <numFmt numFmtId="168" formatCode="0.0"/>
    </dxf>
    <dxf>
      <numFmt numFmtId="168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timilehin Aramide" refreshedDate="46089.794767476851" createdVersion="8" refreshedVersion="8" minRefreshableVersion="3" recordCount="1000" xr:uid="{70EB6ED7-AB31-B846-8CFF-9A313BA5152E}">
  <cacheSource type="worksheet">
    <worksheetSource ref="A1:Q1001" sheet="Sheet1"/>
  </cacheSource>
  <cacheFields count="17">
    <cacheField name="Date" numFmtId="14">
      <sharedItems containsSemiMixedTypes="0" containsNonDate="0" containsDate="1" containsString="0" minDate="2025-01-01T00:00:00" maxDate="2025-04-01T00:00:00"/>
    </cacheField>
    <cacheField name="Campaign_ID" numFmtId="0">
      <sharedItems count="1000">
        <s v="C0126"/>
        <s v="C0320"/>
        <s v="C0033"/>
        <s v="C0136"/>
        <s v="C0889"/>
        <s v="C0620"/>
        <s v="C0919"/>
        <s v="C0430"/>
        <s v="C0098"/>
        <s v="C0997"/>
        <s v="C0312"/>
        <s v="C0493"/>
        <s v="C0316"/>
        <s v="C0882"/>
        <s v="C0824"/>
        <s v="C0451"/>
        <s v="C0764"/>
        <s v="C0407"/>
        <s v="C0447"/>
        <s v="C0056"/>
        <s v="C0810"/>
        <s v="C0852"/>
        <s v="C0984"/>
        <s v="C0440"/>
        <s v="C0646"/>
        <s v="C0740"/>
        <s v="C0739"/>
        <s v="C0488"/>
        <s v="C0154"/>
        <s v="C0314"/>
        <s v="C0976"/>
        <s v="C0966"/>
        <s v="C0162"/>
        <s v="C0511"/>
        <s v="C0199"/>
        <s v="C0747"/>
        <s v="C0245"/>
        <s v="C0603"/>
        <s v="C0723"/>
        <s v="C0290"/>
        <s v="C0574"/>
        <s v="C0076"/>
        <s v="C0677"/>
        <s v="C0531"/>
        <s v="C0724"/>
        <s v="C0101"/>
        <s v="C0250"/>
        <s v="C0300"/>
        <s v="C0208"/>
        <s v="C0955"/>
        <s v="C0834"/>
        <s v="C0049"/>
        <s v="C0437"/>
        <s v="C0436"/>
        <s v="C0476"/>
        <s v="C0571"/>
        <s v="C0551"/>
        <s v="C0547"/>
        <s v="C0542"/>
        <s v="C0768"/>
        <s v="C0892"/>
        <s v="C0020"/>
        <s v="C0337"/>
        <s v="C0370"/>
        <s v="C0684"/>
        <s v="C0686"/>
        <s v="C0138"/>
        <s v="C0573"/>
        <s v="C0236"/>
        <s v="C0750"/>
        <s v="C0896"/>
        <s v="C0636"/>
        <s v="C0271"/>
        <s v="C0952"/>
        <s v="C0141"/>
        <s v="C0694"/>
        <s v="C0617"/>
        <s v="C0293"/>
        <s v="C0415"/>
        <s v="C0445"/>
        <s v="C0865"/>
        <s v="C0366"/>
        <s v="C0582"/>
        <s v="C0425"/>
        <s v="C0935"/>
        <s v="C0933"/>
        <s v="C0382"/>
        <s v="C0733"/>
        <s v="C0925"/>
        <s v="C0182"/>
        <s v="C0657"/>
        <s v="C0355"/>
        <s v="C0061"/>
        <s v="C0450"/>
        <s v="C0317"/>
        <s v="C0826"/>
        <s v="C0863"/>
        <s v="C0323"/>
        <s v="C0460"/>
        <s v="C0828"/>
        <s v="C0274"/>
        <s v="C0284"/>
        <s v="C0874"/>
        <s v="C0378"/>
        <s v="C0001"/>
        <s v="C0948"/>
        <s v="C0003"/>
        <s v="C0969"/>
        <s v="C0507"/>
        <s v="C0309"/>
        <s v="C0380"/>
        <s v="C0845"/>
        <s v="C0837"/>
        <s v="C0835"/>
        <s v="C0515"/>
        <s v="C0806"/>
        <s v="C0524"/>
        <s v="C0564"/>
        <s v="C0085"/>
        <s v="C0255"/>
        <s v="C0605"/>
        <s v="C0954"/>
        <s v="C0674"/>
        <s v="C0157"/>
        <s v="C0110"/>
        <s v="C0197"/>
        <s v="C0201"/>
        <s v="C0883"/>
        <s v="C0354"/>
        <s v="C0803"/>
        <s v="C0941"/>
        <s v="C0026"/>
        <s v="C0930"/>
        <s v="C0188"/>
        <s v="C0853"/>
        <s v="C0591"/>
        <s v="C0917"/>
        <s v="C0242"/>
        <s v="C0273"/>
        <s v="C0640"/>
        <s v="C0275"/>
        <s v="C0985"/>
        <s v="C0195"/>
        <s v="C0414"/>
        <s v="C0781"/>
        <s v="C0322"/>
        <s v="C0465"/>
        <s v="C0765"/>
        <s v="C0226"/>
        <s v="C0361"/>
        <s v="C0676"/>
        <s v="C0269"/>
        <s v="C0397"/>
        <s v="C0816"/>
        <s v="C0107"/>
        <s v="C0112"/>
        <s v="C0475"/>
        <s v="C0491"/>
        <s v="C0135"/>
        <s v="C0103"/>
        <s v="C0566"/>
        <s v="C0777"/>
        <s v="C0256"/>
        <s v="C0406"/>
        <s v="C0118"/>
        <s v="C0540"/>
        <s v="C0168"/>
        <s v="C0796"/>
        <s v="C0575"/>
        <s v="C0643"/>
        <s v="C0428"/>
        <s v="C0454"/>
        <s v="C0953"/>
        <s v="C0864"/>
        <s v="C0716"/>
        <s v="C0379"/>
        <s v="C0916"/>
        <s v="C0246"/>
        <s v="C0838"/>
        <s v="C0048"/>
        <s v="C0159"/>
        <s v="C0481"/>
        <s v="C0243"/>
        <s v="C0799"/>
        <s v="C0572"/>
        <s v="C0260"/>
        <s v="C0778"/>
        <s v="C0593"/>
        <s v="C0844"/>
        <s v="C0912"/>
        <s v="C0461"/>
        <s v="C0214"/>
        <s v="C0368"/>
        <s v="C0666"/>
        <s v="C0018"/>
        <s v="C0619"/>
        <s v="C0772"/>
        <s v="C0132"/>
        <s v="C0025"/>
        <s v="C0165"/>
        <s v="C0427"/>
        <s v="C0482"/>
        <s v="C0037"/>
        <s v="C0077"/>
        <s v="C0411"/>
        <s v="C0592"/>
        <s v="C0392"/>
        <s v="C0964"/>
        <s v="C0655"/>
        <s v="C0377"/>
        <s v="C0106"/>
        <s v="C0408"/>
        <s v="C0934"/>
        <s v="C0174"/>
        <s v="C0388"/>
        <s v="C0576"/>
        <s v="C0075"/>
        <s v="C0721"/>
        <s v="C0281"/>
        <s v="C0191"/>
        <s v="C0391"/>
        <s v="C0675"/>
        <s v="C0224"/>
        <s v="C0332"/>
        <s v="C0383"/>
        <s v="C0975"/>
        <s v="C0184"/>
        <s v="C0196"/>
        <s v="C0664"/>
        <s v="C0634"/>
        <s v="C0395"/>
        <s v="C0384"/>
        <s v="C0545"/>
        <s v="C0097"/>
        <s v="C0516"/>
        <s v="C0228"/>
        <s v="C0793"/>
        <s v="C0822"/>
        <s v="C0131"/>
        <s v="C0040"/>
        <s v="C0623"/>
        <s v="C0959"/>
        <s v="C0489"/>
        <s v="C0209"/>
        <s v="C0661"/>
        <s v="C0396"/>
        <s v="C0654"/>
        <s v="C0906"/>
        <s v="C0672"/>
        <s v="C0512"/>
        <s v="C0699"/>
        <s v="C0820"/>
        <s v="C0119"/>
        <s v="C0539"/>
        <s v="C0259"/>
        <s v="C0153"/>
        <s v="C0364"/>
        <s v="C0601"/>
        <s v="C0205"/>
        <s v="C0554"/>
        <s v="C0225"/>
        <s v="C0552"/>
        <s v="C0785"/>
        <s v="C0190"/>
        <s v="C0155"/>
        <s v="C0817"/>
        <s v="C0802"/>
        <s v="C0404"/>
        <s v="C0389"/>
        <s v="C0927"/>
        <s v="C0342"/>
        <s v="C0200"/>
        <s v="C0090"/>
        <s v="C0113"/>
        <s v="C0606"/>
        <s v="C0304"/>
        <s v="C0305"/>
        <s v="C0336"/>
        <s v="C0356"/>
        <s v="C0847"/>
        <s v="C0861"/>
        <s v="C0099"/>
        <s v="C0330"/>
        <s v="C0849"/>
        <s v="C0982"/>
        <s v="C0967"/>
        <s v="C0298"/>
        <s v="C0070"/>
        <s v="C0668"/>
        <s v="C0767"/>
        <s v="C0283"/>
        <s v="C0949"/>
        <s v="C0525"/>
        <s v="C0036"/>
        <s v="C0742"/>
        <s v="C0638"/>
        <s v="C0152"/>
        <s v="C0504"/>
        <s v="C0108"/>
        <s v="C0519"/>
        <s v="C0494"/>
        <s v="C0160"/>
        <s v="C0587"/>
        <s v="C0886"/>
        <s v="C0278"/>
        <s v="C0611"/>
        <s v="C0403"/>
        <s v="C0365"/>
        <s v="C0779"/>
        <s v="C0783"/>
        <s v="C0435"/>
        <s v="C0438"/>
        <s v="C0285"/>
        <s v="C0478"/>
        <s v="C0960"/>
        <s v="C0848"/>
        <s v="C0449"/>
        <s v="C0929"/>
        <s v="C0095"/>
        <s v="C0331"/>
        <s v="C0790"/>
        <s v="C0080"/>
        <s v="C0145"/>
        <s v="C0615"/>
        <s v="C0022"/>
        <s v="C0308"/>
        <s v="C0527"/>
        <s v="C0792"/>
        <s v="C0789"/>
        <s v="C0124"/>
        <s v="C0758"/>
        <s v="C0631"/>
        <s v="C0990"/>
        <s v="C0989"/>
        <s v="C0276"/>
        <s v="C0127"/>
        <s v="C0023"/>
        <s v="C0351"/>
        <s v="C0597"/>
        <s v="C0749"/>
        <s v="C0589"/>
        <s v="C0423"/>
        <s v="C0198"/>
        <s v="C0277"/>
        <s v="C0567"/>
        <s v="C0862"/>
        <s v="C0100"/>
        <s v="C0868"/>
        <s v="C0937"/>
        <s v="C0210"/>
        <s v="C0728"/>
        <s v="C0693"/>
        <s v="C0175"/>
        <s v="C0656"/>
        <s v="C0715"/>
        <s v="C0375"/>
        <s v="C0708"/>
        <s v="C0908"/>
        <s v="C0158"/>
        <s v="C0945"/>
        <s v="C0353"/>
        <s v="C0149"/>
        <s v="C0463"/>
        <s v="C0970"/>
        <s v="C0891"/>
        <s v="C0459"/>
        <s v="C0133"/>
        <s v="C0172"/>
        <s v="C0559"/>
        <s v="C0718"/>
        <s v="C0776"/>
        <s v="C0164"/>
        <s v="C0044"/>
        <s v="C0125"/>
        <s v="C0986"/>
        <s v="C0759"/>
        <s v="C0457"/>
        <s v="C0501"/>
        <s v="C0213"/>
        <s v="C0222"/>
        <s v="C0253"/>
        <s v="C0258"/>
        <s v="C0291"/>
        <s v="C0660"/>
        <s v="C0653"/>
        <s v="C0876"/>
        <s v="C0628"/>
        <s v="C0294"/>
        <s v="C0374"/>
        <s v="C0334"/>
        <s v="C0786"/>
        <s v="C0339"/>
        <s v="C0362"/>
        <s v="C0871"/>
        <s v="C0797"/>
        <s v="C0701"/>
        <s v="C0215"/>
        <s v="C0931"/>
        <s v="C0744"/>
        <s v="C0462"/>
        <s v="C0483"/>
        <s v="C0867"/>
        <s v="C0665"/>
        <s v="C0872"/>
        <s v="C0508"/>
        <s v="C0521"/>
        <s v="C0801"/>
        <s v="C0550"/>
        <s v="C0471"/>
        <s v="C0669"/>
        <s v="C0857"/>
        <s v="C0063"/>
        <s v="C0996"/>
        <s v="C0910"/>
        <s v="C0341"/>
        <s v="C0622"/>
        <s v="C0681"/>
        <s v="C0612"/>
        <s v="C0244"/>
        <s v="C0484"/>
        <s v="C0732"/>
        <s v="C0111"/>
        <s v="C0027"/>
        <s v="C0419"/>
        <s v="C0192"/>
        <s v="C0134"/>
        <s v="C0745"/>
        <s v="C0418"/>
        <s v="C0973"/>
        <s v="C0700"/>
        <s v="C0143"/>
        <s v="C0499"/>
        <s v="C0089"/>
        <s v="C0041"/>
        <s v="C0706"/>
        <s v="C0751"/>
        <s v="C0788"/>
        <s v="C0367"/>
        <s v="C0104"/>
        <s v="C0128"/>
        <s v="C0288"/>
        <s v="C0289"/>
        <s v="C0173"/>
        <s v="C0645"/>
        <s v="C0144"/>
        <s v="C0012"/>
        <s v="C0667"/>
        <s v="C0544"/>
        <s v="C0652"/>
        <s v="C0663"/>
        <s v="C0763"/>
        <s v="C0072"/>
        <s v="C0287"/>
        <s v="C0082"/>
        <s v="C0114"/>
        <s v="C0490"/>
        <s v="C0727"/>
        <s v="C0626"/>
        <s v="C0821"/>
        <s v="C0711"/>
        <s v="C0650"/>
        <s v="C0453"/>
        <s v="C0212"/>
        <s v="C0720"/>
        <s v="C0981"/>
        <s v="C0807"/>
        <s v="C0773"/>
        <s v="C0831"/>
        <s v="C0202"/>
        <s v="C0893"/>
        <s v="C0662"/>
        <s v="C0261"/>
        <s v="C0647"/>
        <s v="C0233"/>
        <s v="C0548"/>
        <s v="C0900"/>
        <s v="C0877"/>
        <s v="C0359"/>
        <s v="C0207"/>
        <s v="C0563"/>
        <s v="C0352"/>
        <s v="C0177"/>
        <s v="C0148"/>
        <s v="C0381"/>
        <s v="C0417"/>
        <s v="C0743"/>
        <s v="C0009"/>
        <s v="C0761"/>
        <s v="C0230"/>
        <s v="C0978"/>
        <s v="C0349"/>
        <s v="C0924"/>
        <s v="C0235"/>
        <s v="C0248"/>
        <s v="C0217"/>
        <s v="C0249"/>
        <s v="C0618"/>
        <s v="C0688"/>
        <s v="C0264"/>
        <s v="C0239"/>
        <s v="C0073"/>
        <s v="C0735"/>
        <s v="C0004"/>
        <s v="C0038"/>
        <s v="C0024"/>
        <s v="C0084"/>
        <s v="C0434"/>
        <s v="C0485"/>
        <s v="C0878"/>
        <s v="C0944"/>
        <s v="C0251"/>
        <s v="C0928"/>
        <s v="C0422"/>
        <s v="C0833"/>
        <s v="C0301"/>
        <s v="C0170"/>
        <s v="C0649"/>
        <s v="C0166"/>
        <s v="C0843"/>
        <s v="C0904"/>
        <s v="C0854"/>
        <s v="C0608"/>
        <s v="C0472"/>
        <s v="C0398"/>
        <s v="C0565"/>
        <s v="C0680"/>
        <s v="C0292"/>
        <s v="C0416"/>
        <s v="C0055"/>
        <s v="C0811"/>
        <s v="C0692"/>
        <s v="C0583"/>
        <s v="C0911"/>
        <s v="C0094"/>
        <s v="C0860"/>
        <s v="C0855"/>
        <s v="C0372"/>
        <s v="C0473"/>
        <s v="C0968"/>
        <s v="C0270"/>
        <s v="C0433"/>
        <s v="C0121"/>
        <s v="C0086"/>
        <s v="C0757"/>
        <s v="C0216"/>
        <s v="C0480"/>
        <s v="C0532"/>
        <s v="C0156"/>
        <s v="C0503"/>
        <s v="C0956"/>
        <s v="C0950"/>
        <s v="C0856"/>
        <s v="C0171"/>
        <s v="C0229"/>
        <s v="C0129"/>
        <s v="C0402"/>
        <s v="C0610"/>
        <s v="C0002"/>
        <s v="C0492"/>
        <s v="C0502"/>
        <s v="C0091"/>
        <s v="C0812"/>
        <s v="C0466"/>
        <s v="C0586"/>
        <s v="C0627"/>
        <s v="C0467"/>
        <s v="C0315"/>
        <s v="C0424"/>
        <s v="C0536"/>
        <s v="C0180"/>
        <s v="C0179"/>
        <s v="C0884"/>
        <s v="C0350"/>
        <s v="C0116"/>
        <s v="C0069"/>
        <s v="C0825"/>
        <s v="C0426"/>
        <s v="C0965"/>
        <s v="C0505"/>
        <s v="C0394"/>
        <s v="C0385"/>
        <s v="C0240"/>
        <s v="C0267"/>
        <s v="C0921"/>
        <s v="C0813"/>
        <s v="C0064"/>
        <s v="C0046"/>
        <s v="C0534"/>
        <s v="C0841"/>
        <s v="C0697"/>
        <s v="C0068"/>
        <s v="C0881"/>
        <s v="C0442"/>
        <s v="C0815"/>
        <s v="C0303"/>
        <s v="C0071"/>
        <s v="C0528"/>
        <s v="C0468"/>
        <s v="C0983"/>
        <s v="C0109"/>
        <s v="C0613"/>
        <s v="C0369"/>
        <s v="C0189"/>
        <s v="C0923"/>
        <s v="C0980"/>
        <s v="C0614"/>
        <s v="C0992"/>
        <s v="C0497"/>
        <s v="C0344"/>
        <s v="C0962"/>
        <s v="C0719"/>
        <s v="C0031"/>
        <s v="C0123"/>
        <s v="C0961"/>
        <s v="C0818"/>
        <s v="C0185"/>
        <s v="C0895"/>
        <s v="C0939"/>
        <s v="C0223"/>
        <s v="C0254"/>
        <s v="C0393"/>
        <s v="C0814"/>
        <s v="C0782"/>
        <s v="C0979"/>
        <s v="C0535"/>
        <s v="C0696"/>
        <s v="C0673"/>
        <s v="C0169"/>
        <s v="C0827"/>
        <s v="C0487"/>
        <s v="C0769"/>
        <s v="C0887"/>
        <s v="C0237"/>
        <s v="C0441"/>
        <s v="C0413"/>
        <s v="C0809"/>
        <s v="C0295"/>
        <s v="C0907"/>
        <s v="C0579"/>
        <s v="C0357"/>
        <s v="C0943"/>
        <s v="C0869"/>
        <s v="C0014"/>
        <s v="C0387"/>
        <s v="C0268"/>
        <s v="C0685"/>
        <s v="C0691"/>
        <s v="C0880"/>
        <s v="C0318"/>
        <s v="C0526"/>
        <s v="C0905"/>
        <s v="C0771"/>
        <s v="C0529"/>
        <s v="C0998"/>
        <s v="C0670"/>
        <s v="C0885"/>
        <s v="C0455"/>
        <s v="C0570"/>
        <s v="C0568"/>
        <s v="C0432"/>
        <s v="C0042"/>
        <s v="C0220"/>
        <s v="C0546"/>
        <s v="C0219"/>
        <s v="C0151"/>
        <s v="C0753"/>
        <s v="C0510"/>
        <s v="C0495"/>
        <s v="C0637"/>
        <s v="C0898"/>
        <s v="C0102"/>
        <s v="C0722"/>
        <s v="C0830"/>
        <s v="C0713"/>
        <s v="C0578"/>
        <s v="C0469"/>
        <s v="C0345"/>
        <s v="C0054"/>
        <s v="C0120"/>
        <s v="C0707"/>
        <s v="C0914"/>
        <s v="C0176"/>
        <s v="C0555"/>
        <s v="C0087"/>
        <s v="C0659"/>
        <s v="C0858"/>
        <s v="C0560"/>
        <s v="C0915"/>
        <s v="C0846"/>
        <s v="C0932"/>
        <s v="C0034"/>
        <s v="C0679"/>
        <s v="C0311"/>
        <s v="C0017"/>
        <s v="C0760"/>
        <s v="C0936"/>
        <s v="C0074"/>
        <s v="C0514"/>
        <s v="C0533"/>
        <s v="C0879"/>
        <s v="C0376"/>
        <s v="C0373"/>
        <s v="C0045"/>
        <s v="C0621"/>
        <s v="C0946"/>
        <s v="C0401"/>
        <s v="C0363"/>
        <s v="C0754"/>
        <s v="C0746"/>
        <s v="C0897"/>
        <s v="C1000"/>
        <s v="C0644"/>
        <s v="C0581"/>
        <s v="C0006"/>
        <s v="C0580"/>
        <s v="C0523"/>
        <s v="C0808"/>
        <s v="C0338"/>
        <s v="C0065"/>
        <s v="C0474"/>
        <s v="C0247"/>
        <s v="C0279"/>
        <s v="C0429"/>
        <s v="C0780"/>
        <s v="C0016"/>
        <s v="C0994"/>
        <s v="C0639"/>
        <s v="C0272"/>
        <s v="C0187"/>
        <s v="C0313"/>
        <s v="C0051"/>
        <s v="C0297"/>
        <s v="C0163"/>
        <s v="C0028"/>
        <s v="C0412"/>
        <s v="C0013"/>
        <s v="C0206"/>
        <s v="C0405"/>
        <s v="C0193"/>
        <s v="C0549"/>
        <s v="C0709"/>
        <s v="C0448"/>
        <s v="C0306"/>
        <s v="C0479"/>
        <s v="C0050"/>
        <s v="C0604"/>
        <s v="C0286"/>
        <s v="C0600"/>
        <s v="C0594"/>
        <s v="C0509"/>
        <s v="C0556"/>
        <s v="C0840"/>
        <s v="C0257"/>
        <s v="C0770"/>
        <s v="C0704"/>
        <s v="C0371"/>
        <s v="C0823"/>
        <s v="C0561"/>
        <s v="C0832"/>
        <s v="C0741"/>
        <s v="C0053"/>
        <s v="C0538"/>
        <s v="C0439"/>
        <s v="C0875"/>
        <s v="C0496"/>
        <s v="C0161"/>
        <s v="C0584"/>
        <s v="C0299"/>
        <s v="C0596"/>
        <s v="C0705"/>
        <s v="C0335"/>
        <s v="C0731"/>
        <s v="C0139"/>
        <s v="C0737"/>
        <s v="C0641"/>
        <s v="C0635"/>
        <s v="C0035"/>
        <s v="C0632"/>
        <s v="C0062"/>
        <s v="C0888"/>
        <s v="C0794"/>
        <s v="C0648"/>
        <s v="C0280"/>
        <s v="C0030"/>
        <s v="C0146"/>
        <s v="C0015"/>
        <s v="C0866"/>
        <s v="C0327"/>
        <s v="C0328"/>
        <s v="C0974"/>
        <s v="C0218"/>
        <s v="C0266"/>
        <s v="C0710"/>
        <s v="C0346"/>
        <s v="C0147"/>
        <s v="C0093"/>
        <s v="C0940"/>
        <s v="C0557"/>
        <s v="C0787"/>
        <s v="C0651"/>
        <s v="C0922"/>
        <s v="C0995"/>
        <s v="C0043"/>
        <s v="C0738"/>
        <s v="C0057"/>
        <s v="C0066"/>
        <s v="C0458"/>
        <s v="C0140"/>
        <s v="C0774"/>
        <s v="C0851"/>
        <s v="C0909"/>
        <s v="C0008"/>
        <s v="C0241"/>
        <s v="C0642"/>
        <s v="C0194"/>
        <s v="C0010"/>
        <s v="C0687"/>
        <s v="C0543"/>
        <s v="C0421"/>
        <s v="C0836"/>
        <s v="C0522"/>
        <s v="C0520"/>
        <s v="C0058"/>
        <s v="C0083"/>
        <s v="C0682"/>
        <s v="C0517"/>
        <s v="C0263"/>
        <s v="C0360"/>
        <s v="C0211"/>
        <s v="C0585"/>
        <s v="C0011"/>
        <s v="C0702"/>
        <s v="C0795"/>
        <s v="C0137"/>
        <s v="C0798"/>
        <s v="C0562"/>
        <s v="C0052"/>
        <s v="C0537"/>
        <s v="C0784"/>
        <s v="C0039"/>
        <s v="C0918"/>
        <s v="C0977"/>
        <s v="C0951"/>
        <s v="C0988"/>
        <s v="C0321"/>
        <s v="C0926"/>
        <s v="C0282"/>
        <s v="C0340"/>
        <s v="C0957"/>
        <s v="C0007"/>
        <s v="C0987"/>
        <s v="C0500"/>
        <s v="C0607"/>
        <s v="C0938"/>
        <s v="C0470"/>
        <s v="C0850"/>
        <s v="C0181"/>
        <s v="C0762"/>
        <s v="C0078"/>
        <s v="C0130"/>
        <s v="C0839"/>
        <s v="C0060"/>
        <s v="C0310"/>
        <s v="C0633"/>
        <s v="C0386"/>
        <s v="C0443"/>
        <s v="C0231"/>
        <s v="C0518"/>
        <s v="C0358"/>
        <s v="C0456"/>
        <s v="C0105"/>
        <s v="C0092"/>
        <s v="C0616"/>
        <s v="C0729"/>
        <s v="C0870"/>
        <s v="C0766"/>
        <s v="C0590"/>
        <s v="C0963"/>
        <s v="C0736"/>
        <s v="C0598"/>
        <s v="C0712"/>
        <s v="C0319"/>
        <s v="C0873"/>
        <s v="C0400"/>
        <s v="C0333"/>
        <s v="C0399"/>
        <s v="C0595"/>
        <s v="C0325"/>
        <s v="C0991"/>
        <s v="C0513"/>
        <s v="C0347"/>
        <s v="C0972"/>
        <s v="C0079"/>
        <s v="C0804"/>
        <s v="C0805"/>
        <s v="C0558"/>
        <s v="C0942"/>
        <s v="C0420"/>
        <s v="C0326"/>
        <s v="C0599"/>
        <s v="C0800"/>
        <s v="C0307"/>
        <s v="C0993"/>
        <s v="C0819"/>
        <s v="C0726"/>
        <s v="C0265"/>
        <s v="C0899"/>
        <s v="C0186"/>
        <s v="C0703"/>
        <s v="C0791"/>
        <s v="C0894"/>
        <s v="C0671"/>
        <s v="C0698"/>
        <s v="C0203"/>
        <s v="C0348"/>
        <s v="C0409"/>
        <s v="C0541"/>
        <s v="C0755"/>
        <s v="C0734"/>
        <s v="C0431"/>
        <s v="C0067"/>
        <s v="C0506"/>
        <s v="C0047"/>
        <s v="C0630"/>
        <s v="C0486"/>
        <s v="C0005"/>
        <s v="C0602"/>
        <s v="C0748"/>
        <s v="C0390"/>
        <s v="C0122"/>
        <s v="C0588"/>
        <s v="C0296"/>
        <s v="C0999"/>
        <s v="C0901"/>
        <s v="C0167"/>
        <s v="C0903"/>
        <s v="C0117"/>
        <s v="C0238"/>
        <s v="C0683"/>
        <s v="C0477"/>
        <s v="C0756"/>
        <s v="C0029"/>
        <s v="C0690"/>
        <s v="C0204"/>
        <s v="C0464"/>
        <s v="C0452"/>
        <s v="C0609"/>
        <s v="C0577"/>
        <s v="C0842"/>
        <s v="C0947"/>
        <s v="C0183"/>
        <s v="C0553"/>
        <s v="C0658"/>
        <s v="C0150"/>
        <s v="C0971"/>
        <s v="C0324"/>
        <s v="C0021"/>
        <s v="C0088"/>
        <s v="C0695"/>
        <s v="C0902"/>
        <s v="C0032"/>
        <s v="C0859"/>
        <s v="C0689"/>
        <s v="C0234"/>
        <s v="C0624"/>
        <s v="C0252"/>
        <s v="C0752"/>
        <s v="C0569"/>
        <s v="C0302"/>
        <s v="C0262"/>
        <s v="C0329"/>
        <s v="C0958"/>
        <s v="C0227"/>
        <s v="C0178"/>
        <s v="C0115"/>
        <s v="C0444"/>
        <s v="C0232"/>
        <s v="C0714"/>
        <s v="C0890"/>
        <s v="C0730"/>
        <s v="C0446"/>
        <s v="C0142"/>
        <s v="C0498"/>
        <s v="C0343"/>
        <s v="C0775"/>
        <s v="C0096"/>
        <s v="C0059"/>
        <s v="C0221"/>
        <s v="C0530"/>
        <s v="C0019"/>
        <s v="C0410"/>
        <s v="C0717"/>
        <s v="C0920"/>
        <s v="C0913"/>
        <s v="C0081"/>
        <s v="C0678"/>
        <s v="C0725"/>
        <s v="C0629"/>
        <s v="C0829"/>
        <s v="C0625"/>
      </sharedItems>
    </cacheField>
    <cacheField name="Campaign" numFmtId="0">
      <sharedItems count="20">
        <s v="Search - Brand"/>
        <s v="Shopping - Top Sellers"/>
        <s v="FB Feed - Promo"/>
        <s v="LI Retargeting"/>
        <s v="IG Stories - New Arrivals"/>
        <s v="Email - Abandoned Cart"/>
        <s v="IG Feed - Promo"/>
        <s v="LI Sponsored Content"/>
        <s v="IG Influencer Boost"/>
        <s v="Email - Product Drop"/>
        <s v="IG Reels - Winter"/>
        <s v="FB Video - Brand"/>
        <s v="Display - Remarketing"/>
        <s v="LI Brand Thought"/>
        <s v="FB Carousel - Catalog"/>
        <s v="FB Remarketing"/>
        <s v="LI Lead Gen"/>
        <s v="Search - Generic"/>
        <s v="Email - Newsletter"/>
        <s v="Email - Winback"/>
      </sharedItems>
    </cacheField>
    <cacheField name="Channel" numFmtId="0">
      <sharedItems count="5">
        <s v="Google Ads"/>
        <s v="Facebook"/>
        <s v="LinkedIn"/>
        <s v="Instagram"/>
        <s v="Email"/>
      </sharedItems>
    </cacheField>
    <cacheField name="Objective" numFmtId="0">
      <sharedItems count="3">
        <s v="Prospecting"/>
        <s v="Brand Awareness"/>
        <s v="Retargeting"/>
      </sharedItems>
    </cacheField>
    <cacheField name="Region" numFmtId="0">
      <sharedItems count="5">
        <s v="Prairies"/>
        <s v="BC"/>
        <s v="Quebec"/>
        <s v="Ontario"/>
        <s v="Atlantic"/>
      </sharedItems>
    </cacheField>
    <cacheField name="Device" numFmtId="0">
      <sharedItems/>
    </cacheField>
    <cacheField name="Impressions" numFmtId="0">
      <sharedItems containsSemiMixedTypes="0" containsString="0" containsNumber="1" containsInteger="1" minValue="1049" maxValue="39728"/>
    </cacheField>
    <cacheField name="Clicks" numFmtId="0">
      <sharedItems containsSemiMixedTypes="0" containsString="0" containsNumber="1" containsInteger="1" minValue="48" maxValue="1267"/>
    </cacheField>
    <cacheField name="Conversions" numFmtId="0">
      <sharedItems containsSemiMixedTypes="0" containsString="0" containsNumber="1" containsInteger="1" minValue="0" maxValue="163"/>
    </cacheField>
    <cacheField name="Ad_Spend_CAD" numFmtId="167">
      <sharedItems containsSemiMixedTypes="0" containsString="0" containsNumber="1" minValue="0" maxValue="2854.25"/>
    </cacheField>
    <cacheField name="Revenue_CAD" numFmtId="167">
      <sharedItems containsSemiMixedTypes="0" containsString="0" containsNumber="1" minValue="0" maxValue="25016.18"/>
    </cacheField>
    <cacheField name="CTR " numFmtId="10">
      <sharedItems containsSemiMixedTypes="0" containsString="0" containsNumber="1" minValue="4.3919735675719239E-3" maxValue="0.18124999999999999"/>
    </cacheField>
    <cacheField name="Conversion Rate" numFmtId="10">
      <sharedItems containsSemiMixedTypes="0" containsString="0" containsNumber="1" minValue="0" maxValue="0.28596491228070176"/>
    </cacheField>
    <cacheField name="CPA" numFmtId="167">
      <sharedItems containsSemiMixedTypes="0" containsString="0" containsNumber="1" minValue="0" maxValue="1754.72"/>
    </cacheField>
    <cacheField name="Profit" numFmtId="167">
      <sharedItems containsSemiMixedTypes="0" containsString="0" containsNumber="1" minValue="-2760.79" maxValue="24861.08"/>
    </cacheField>
    <cacheField name="ROI" numFmtId="10">
      <sharedItems containsSemiMixedTypes="0" containsString="0" containsNumber="1" minValue="-1" maxValue="171.676494602195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5-01-01T00:00:00"/>
    <x v="0"/>
    <x v="0"/>
    <x v="0"/>
    <x v="0"/>
    <x v="0"/>
    <s v="Desktop"/>
    <n v="9815"/>
    <n v="550"/>
    <n v="20"/>
    <n v="981.6"/>
    <n v="1631.42"/>
    <n v="5.6036678553234846E-2"/>
    <n v="3.6363636363636362E-2"/>
    <n v="49.08"/>
    <n v="649.82000000000005"/>
    <n v="0.662000814995925"/>
  </r>
  <r>
    <d v="2025-01-01T00:00:00"/>
    <x v="1"/>
    <x v="1"/>
    <x v="0"/>
    <x v="0"/>
    <x v="0"/>
    <s v="Mobile"/>
    <n v="6807"/>
    <n v="325"/>
    <n v="8"/>
    <n v="692.97"/>
    <n v="921.24"/>
    <n v="4.7744968414867049E-2"/>
    <n v="2.4615384615384615E-2"/>
    <n v="86.621250000000003"/>
    <n v="228.26999999999998"/>
    <n v="0.32940819948915534"/>
  </r>
  <r>
    <d v="2025-01-01T00:00:00"/>
    <x v="2"/>
    <x v="2"/>
    <x v="1"/>
    <x v="1"/>
    <x v="1"/>
    <s v="Desktop"/>
    <n v="19595"/>
    <n v="455"/>
    <n v="9"/>
    <n v="844.55"/>
    <n v="456.88"/>
    <n v="2.3220209237050267E-2"/>
    <n v="1.9780219780219779E-2"/>
    <n v="93.838888888888889"/>
    <n v="-387.66999999999996"/>
    <n v="-0.45902551654727369"/>
  </r>
  <r>
    <d v="2025-01-01T00:00:00"/>
    <x v="3"/>
    <x v="3"/>
    <x v="2"/>
    <x v="1"/>
    <x v="1"/>
    <s v="Mobile"/>
    <n v="3607"/>
    <n v="144"/>
    <n v="1"/>
    <n v="711.2"/>
    <n v="188.92"/>
    <n v="3.9922373163293598E-2"/>
    <n v="6.9444444444444441E-3"/>
    <n v="711.2"/>
    <n v="-522.28000000000009"/>
    <n v="-0.73436445444319465"/>
  </r>
  <r>
    <d v="2025-01-01T00:00:00"/>
    <x v="4"/>
    <x v="0"/>
    <x v="0"/>
    <x v="2"/>
    <x v="1"/>
    <s v="Desktop"/>
    <n v="11837"/>
    <n v="623"/>
    <n v="38"/>
    <n v="1237.74"/>
    <n v="4191.08"/>
    <n v="5.2631578947368418E-2"/>
    <n v="6.0995184590690206E-2"/>
    <n v="32.572105263157894"/>
    <n v="2953.34"/>
    <n v="2.3860746198717018"/>
  </r>
  <r>
    <d v="2025-01-01T00:00:00"/>
    <x v="5"/>
    <x v="4"/>
    <x v="3"/>
    <x v="0"/>
    <x v="2"/>
    <s v="Mobile"/>
    <n v="21784"/>
    <n v="348"/>
    <n v="3"/>
    <n v="456.79"/>
    <n v="122.26"/>
    <n v="1.5975027543150937E-2"/>
    <n v="8.6206896551724137E-3"/>
    <n v="152.26333333333335"/>
    <n v="-334.53000000000003"/>
    <n v="-0.73234965739179936"/>
  </r>
  <r>
    <d v="2025-01-01T00:00:00"/>
    <x v="6"/>
    <x v="5"/>
    <x v="4"/>
    <x v="1"/>
    <x v="0"/>
    <s v="Mobile"/>
    <n v="2470"/>
    <n v="242"/>
    <n v="17"/>
    <n v="55.44"/>
    <n v="1784.55"/>
    <n v="9.7975708502024292E-2"/>
    <n v="7.0247933884297523E-2"/>
    <n v="3.2611764705882353"/>
    <n v="1729.11"/>
    <n v="31.188852813852812"/>
  </r>
  <r>
    <d v="2025-01-01T00:00:00"/>
    <x v="7"/>
    <x v="6"/>
    <x v="3"/>
    <x v="2"/>
    <x v="2"/>
    <s v="Tablet"/>
    <n v="26282"/>
    <n v="585"/>
    <n v="14"/>
    <n v="568.13"/>
    <n v="683.36"/>
    <n v="2.2258580016741497E-2"/>
    <n v="2.3931623931623933E-2"/>
    <n v="40.580714285714286"/>
    <n v="115.23000000000002"/>
    <n v="0.20282329748473063"/>
  </r>
  <r>
    <d v="2025-01-01T00:00:00"/>
    <x v="8"/>
    <x v="7"/>
    <x v="2"/>
    <x v="0"/>
    <x v="1"/>
    <s v="Mobile"/>
    <n v="3416"/>
    <n v="145"/>
    <n v="3"/>
    <n v="890.48"/>
    <n v="598.41"/>
    <n v="4.2447306791569085E-2"/>
    <n v="2.0689655172413793E-2"/>
    <n v="296.82666666666665"/>
    <n v="-292.07000000000005"/>
    <n v="-0.32799164495552963"/>
  </r>
  <r>
    <d v="2025-01-01T00:00:00"/>
    <x v="9"/>
    <x v="8"/>
    <x v="3"/>
    <x v="1"/>
    <x v="3"/>
    <s v="Desktop"/>
    <n v="19924"/>
    <n v="471"/>
    <n v="5"/>
    <n v="697.66"/>
    <n v="321.37"/>
    <n v="2.3639831359164826E-2"/>
    <n v="1.0615711252653927E-2"/>
    <n v="139.53199999999998"/>
    <n v="-376.28999999999996"/>
    <n v="-0.53936014677636668"/>
  </r>
  <r>
    <d v="2025-01-02T00:00:00"/>
    <x v="10"/>
    <x v="6"/>
    <x v="3"/>
    <x v="0"/>
    <x v="2"/>
    <s v="Mobile"/>
    <n v="24472"/>
    <n v="676"/>
    <n v="7"/>
    <n v="898.04"/>
    <n v="296.44"/>
    <n v="2.7623406341941811E-2"/>
    <n v="1.0355029585798817E-2"/>
    <n v="128.29142857142855"/>
    <n v="-601.59999999999991"/>
    <n v="-0.66990334506258065"/>
  </r>
  <r>
    <d v="2025-01-02T00:00:00"/>
    <x v="11"/>
    <x v="1"/>
    <x v="0"/>
    <x v="1"/>
    <x v="4"/>
    <s v="Mobile"/>
    <n v="9829"/>
    <n v="524"/>
    <n v="14"/>
    <n v="945.16"/>
    <n v="1153.69"/>
    <n v="5.3311628853393023E-2"/>
    <n v="2.6717557251908396E-2"/>
    <n v="67.511428571428567"/>
    <n v="208.53000000000009"/>
    <n v="0.22062931143933312"/>
  </r>
  <r>
    <d v="2025-01-02T00:00:00"/>
    <x v="12"/>
    <x v="9"/>
    <x v="4"/>
    <x v="0"/>
    <x v="1"/>
    <s v="Desktop"/>
    <n v="1752"/>
    <n v="181"/>
    <n v="20"/>
    <n v="87.8"/>
    <n v="2803.39"/>
    <n v="0.10331050228310502"/>
    <n v="0.11049723756906077"/>
    <n v="4.3899999999999997"/>
    <n v="2715.5899999999997"/>
    <n v="30.92927107061503"/>
  </r>
  <r>
    <d v="2025-01-02T00:00:00"/>
    <x v="13"/>
    <x v="3"/>
    <x v="2"/>
    <x v="2"/>
    <x v="3"/>
    <s v="Mobile"/>
    <n v="4784"/>
    <n v="254"/>
    <n v="4"/>
    <n v="1641.97"/>
    <n v="501.77"/>
    <n v="5.3093645484949832E-2"/>
    <n v="1.5748031496062992E-2"/>
    <n v="410.49250000000001"/>
    <n v="-1140.2"/>
    <n v="-0.69440976388119147"/>
  </r>
  <r>
    <d v="2025-01-02T00:00:00"/>
    <x v="14"/>
    <x v="7"/>
    <x v="2"/>
    <x v="0"/>
    <x v="3"/>
    <s v="Mobile"/>
    <n v="5330"/>
    <n v="217"/>
    <n v="5"/>
    <n v="1533.86"/>
    <n v="111.62"/>
    <n v="4.0712945590994372E-2"/>
    <n v="2.3041474654377881E-2"/>
    <n v="306.77199999999999"/>
    <n v="-1422.2399999999998"/>
    <n v="-0.92722934296480763"/>
  </r>
  <r>
    <d v="2025-01-02T00:00:00"/>
    <x v="15"/>
    <x v="1"/>
    <x v="0"/>
    <x v="0"/>
    <x v="4"/>
    <s v="Mobile"/>
    <n v="9771"/>
    <n v="398"/>
    <n v="10"/>
    <n v="1071.8699999999999"/>
    <n v="684.11"/>
    <n v="4.0732780677515096E-2"/>
    <n v="2.5125628140703519E-2"/>
    <n v="107.18699999999998"/>
    <n v="-387.75999999999988"/>
    <n v="-0.36176028809463828"/>
  </r>
  <r>
    <d v="2025-01-02T00:00:00"/>
    <x v="16"/>
    <x v="10"/>
    <x v="3"/>
    <x v="0"/>
    <x v="2"/>
    <s v="Desktop"/>
    <n v="29961"/>
    <n v="578"/>
    <n v="9"/>
    <n v="699.65"/>
    <n v="631.61"/>
    <n v="1.9291745936383966E-2"/>
    <n v="1.5570934256055362E-2"/>
    <n v="77.73888888888888"/>
    <n v="-68.039999999999964"/>
    <n v="-9.7248624312156029E-2"/>
  </r>
  <r>
    <d v="2025-01-02T00:00:00"/>
    <x v="17"/>
    <x v="1"/>
    <x v="0"/>
    <x v="0"/>
    <x v="0"/>
    <s v="Desktop"/>
    <n v="14577"/>
    <n v="792"/>
    <n v="40"/>
    <n v="2159.44"/>
    <n v="3825.05"/>
    <n v="5.4332167112574603E-2"/>
    <n v="5.0505050505050504E-2"/>
    <n v="53.986000000000004"/>
    <n v="1665.6100000000001"/>
    <n v="0.77131571148075428"/>
  </r>
  <r>
    <d v="2025-01-02T00:00:00"/>
    <x v="18"/>
    <x v="11"/>
    <x v="1"/>
    <x v="2"/>
    <x v="2"/>
    <s v="Desktop"/>
    <n v="9590"/>
    <n v="408"/>
    <n v="16"/>
    <n v="759"/>
    <n v="1378.54"/>
    <n v="4.2544316996871744E-2"/>
    <n v="3.9215686274509803E-2"/>
    <n v="47.4375"/>
    <n v="619.54"/>
    <n v="0.81625823451910406"/>
  </r>
  <r>
    <d v="2025-01-02T00:00:00"/>
    <x v="19"/>
    <x v="12"/>
    <x v="0"/>
    <x v="0"/>
    <x v="2"/>
    <s v="Mobile"/>
    <n v="8019"/>
    <n v="524"/>
    <n v="9"/>
    <n v="1447.51"/>
    <n v="693.31"/>
    <n v="6.5344806085546825E-2"/>
    <n v="1.717557251908397E-2"/>
    <n v="160.83444444444444"/>
    <n v="-754.2"/>
    <n v="-0.52103266989519936"/>
  </r>
  <r>
    <d v="2025-01-02T00:00:00"/>
    <x v="20"/>
    <x v="13"/>
    <x v="2"/>
    <x v="1"/>
    <x v="2"/>
    <s v="Mobile"/>
    <n v="5563"/>
    <n v="161"/>
    <n v="2"/>
    <n v="1236.8800000000001"/>
    <n v="36.35"/>
    <n v="2.8941218766852416E-2"/>
    <n v="1.2422360248447204E-2"/>
    <n v="618.44000000000005"/>
    <n v="-1200.5300000000002"/>
    <n v="-0.97061153871030337"/>
  </r>
  <r>
    <d v="2025-01-03T00:00:00"/>
    <x v="21"/>
    <x v="12"/>
    <x v="0"/>
    <x v="0"/>
    <x v="3"/>
    <s v="Desktop"/>
    <n v="5367"/>
    <n v="229"/>
    <n v="10"/>
    <n v="0"/>
    <n v="1083.26"/>
    <n v="4.2668157257313211E-2"/>
    <n v="4.3668122270742356E-2"/>
    <n v="0"/>
    <n v="1083.26"/>
    <n v="0"/>
  </r>
  <r>
    <d v="2025-01-03T00:00:00"/>
    <x v="22"/>
    <x v="14"/>
    <x v="1"/>
    <x v="2"/>
    <x v="4"/>
    <s v="Desktop"/>
    <n v="19992"/>
    <n v="691"/>
    <n v="33"/>
    <n v="1242.53"/>
    <n v="2170.37"/>
    <n v="3.4563825530212082E-2"/>
    <n v="4.7756874095513747E-2"/>
    <n v="37.652424242424239"/>
    <n v="927.83999999999992"/>
    <n v="0.7467344852840575"/>
  </r>
  <r>
    <d v="2025-01-03T00:00:00"/>
    <x v="23"/>
    <x v="15"/>
    <x v="1"/>
    <x v="0"/>
    <x v="2"/>
    <s v="Desktop"/>
    <n v="8692"/>
    <n v="221"/>
    <n v="8"/>
    <n v="279.02"/>
    <n v="501.91"/>
    <n v="2.5425678785089736E-2"/>
    <n v="3.6199095022624438E-2"/>
    <n v="34.877499999999998"/>
    <n v="222.89000000000004"/>
    <n v="0.79883162497312044"/>
  </r>
  <r>
    <d v="2025-01-03T00:00:00"/>
    <x v="24"/>
    <x v="4"/>
    <x v="3"/>
    <x v="1"/>
    <x v="1"/>
    <s v="Mobile"/>
    <n v="22138"/>
    <n v="471"/>
    <n v="3"/>
    <n v="475.73"/>
    <n v="196.88"/>
    <n v="2.1275634655343753E-2"/>
    <n v="6.369426751592357E-3"/>
    <n v="158.57666666666668"/>
    <n v="-278.85000000000002"/>
    <n v="-0.58615180879910878"/>
  </r>
  <r>
    <d v="2025-01-03T00:00:00"/>
    <x v="25"/>
    <x v="0"/>
    <x v="0"/>
    <x v="2"/>
    <x v="1"/>
    <s v="Desktop"/>
    <n v="8157"/>
    <n v="372"/>
    <n v="27"/>
    <n v="975.98"/>
    <n v="2242.61"/>
    <n v="4.5605001838911363E-2"/>
    <n v="7.2580645161290328E-2"/>
    <n v="36.147407407407407"/>
    <n v="1266.6300000000001"/>
    <n v="1.2978032336728214"/>
  </r>
  <r>
    <d v="2025-01-03T00:00:00"/>
    <x v="26"/>
    <x v="16"/>
    <x v="2"/>
    <x v="0"/>
    <x v="3"/>
    <s v="Mobile"/>
    <n v="2386"/>
    <n v="60"/>
    <n v="1"/>
    <n v="363.25"/>
    <n v="178.41"/>
    <n v="2.5146689019279127E-2"/>
    <n v="1.6666666666666666E-2"/>
    <n v="363.25"/>
    <n v="-184.84"/>
    <n v="-0.50885065381968342"/>
  </r>
  <r>
    <d v="2025-01-03T00:00:00"/>
    <x v="27"/>
    <x v="0"/>
    <x v="0"/>
    <x v="2"/>
    <x v="0"/>
    <s v="Mobile"/>
    <n v="9735"/>
    <n v="476"/>
    <n v="32"/>
    <n v="1079.97"/>
    <n v="2327.36"/>
    <n v="4.8895737031330253E-2"/>
    <n v="6.7226890756302518E-2"/>
    <n v="33.749062500000001"/>
    <n v="1247.3900000000001"/>
    <n v="1.1550228247080938"/>
  </r>
  <r>
    <d v="2025-01-03T00:00:00"/>
    <x v="28"/>
    <x v="17"/>
    <x v="0"/>
    <x v="2"/>
    <x v="0"/>
    <s v="Mobile"/>
    <n v="9228"/>
    <n v="536"/>
    <n v="37"/>
    <n v="869.2"/>
    <n v="4174.21"/>
    <n v="5.808409189423494E-2"/>
    <n v="6.9029850746268662E-2"/>
    <n v="23.491891891891893"/>
    <n v="3305.01"/>
    <n v="3.8023584905660379"/>
  </r>
  <r>
    <d v="2025-01-03T00:00:00"/>
    <x v="29"/>
    <x v="16"/>
    <x v="2"/>
    <x v="2"/>
    <x v="1"/>
    <s v="Mobile"/>
    <n v="4538"/>
    <n v="213"/>
    <n v="5"/>
    <n v="1554.69"/>
    <n v="967.29"/>
    <n v="4.6936976641692378E-2"/>
    <n v="2.3474178403755867E-2"/>
    <n v="310.93799999999999"/>
    <n v="-587.40000000000009"/>
    <n v="-0.37782451807112677"/>
  </r>
  <r>
    <d v="2025-01-04T00:00:00"/>
    <x v="30"/>
    <x v="12"/>
    <x v="0"/>
    <x v="1"/>
    <x v="3"/>
    <s v="Desktop"/>
    <n v="7635"/>
    <n v="306"/>
    <n v="7"/>
    <n v="651.70000000000005"/>
    <n v="526.25"/>
    <n v="4.0078585461689589E-2"/>
    <n v="2.2875816993464051E-2"/>
    <n v="93.100000000000009"/>
    <n v="-125.45000000000005"/>
    <n v="-0.19249654749117698"/>
  </r>
  <r>
    <d v="2025-01-04T00:00:00"/>
    <x v="31"/>
    <x v="4"/>
    <x v="3"/>
    <x v="0"/>
    <x v="3"/>
    <s v="Desktop"/>
    <n v="28834"/>
    <n v="550"/>
    <n v="9"/>
    <n v="507.4"/>
    <n v="575.38"/>
    <n v="1.907470347506416E-2"/>
    <n v="1.6363636363636365E-2"/>
    <n v="56.377777777777773"/>
    <n v="67.980000000000018"/>
    <n v="0.13397713835238476"/>
  </r>
  <r>
    <d v="2025-01-04T00:00:00"/>
    <x v="32"/>
    <x v="2"/>
    <x v="1"/>
    <x v="0"/>
    <x v="3"/>
    <s v="Mobile"/>
    <n v="9113"/>
    <n v="320"/>
    <n v="6"/>
    <n v="510.22"/>
    <n v="525.08000000000004"/>
    <n v="3.5114671348622846E-2"/>
    <n v="1.8749999999999999E-2"/>
    <n v="85.036666666666676"/>
    <n v="14.860000000000014"/>
    <n v="2.9124691309631166E-2"/>
  </r>
  <r>
    <d v="2025-01-04T00:00:00"/>
    <x v="33"/>
    <x v="10"/>
    <x v="3"/>
    <x v="1"/>
    <x v="1"/>
    <s v="Mobile"/>
    <n v="25751"/>
    <n v="535"/>
    <n v="6"/>
    <n v="468.81"/>
    <n v="262.91000000000003"/>
    <n v="2.0775892198361227E-2"/>
    <n v="1.1214953271028037E-2"/>
    <n v="78.135000000000005"/>
    <n v="-205.89999999999998"/>
    <n v="-0.43919711610247214"/>
  </r>
  <r>
    <d v="2025-01-04T00:00:00"/>
    <x v="34"/>
    <x v="5"/>
    <x v="4"/>
    <x v="2"/>
    <x v="1"/>
    <s v="Desktop"/>
    <n v="1945"/>
    <n v="168"/>
    <n v="26"/>
    <n v="64.75"/>
    <n v="4124.07"/>
    <n v="8.637532133676093E-2"/>
    <n v="0.15476190476190477"/>
    <n v="2.4903846153846154"/>
    <n v="4059.3199999999997"/>
    <n v="62.692200772200771"/>
  </r>
  <r>
    <d v="2025-01-04T00:00:00"/>
    <x v="35"/>
    <x v="5"/>
    <x v="4"/>
    <x v="1"/>
    <x v="3"/>
    <s v="Desktop"/>
    <n v="2413"/>
    <n v="219"/>
    <n v="26"/>
    <n v="111.37"/>
    <n v="3247.56"/>
    <n v="9.0758392043099878E-2"/>
    <n v="0.11872146118721461"/>
    <n v="4.2834615384615384"/>
    <n v="3136.19"/>
    <n v="28.160096974050461"/>
  </r>
  <r>
    <d v="2025-01-04T00:00:00"/>
    <x v="36"/>
    <x v="17"/>
    <x v="0"/>
    <x v="0"/>
    <x v="3"/>
    <s v="Mobile"/>
    <n v="11309"/>
    <n v="714"/>
    <n v="20"/>
    <n v="1643.17"/>
    <n v="1615.28"/>
    <n v="6.3135555752055886E-2"/>
    <n v="2.8011204481792718E-2"/>
    <n v="82.158500000000004"/>
    <n v="-27.8900000000001"/>
    <n v="-1.6973289434446891E-2"/>
  </r>
  <r>
    <d v="2025-01-04T00:00:00"/>
    <x v="37"/>
    <x v="18"/>
    <x v="4"/>
    <x v="0"/>
    <x v="2"/>
    <s v="Mobile"/>
    <n v="2136"/>
    <n v="210"/>
    <n v="17"/>
    <n v="51.64"/>
    <n v="2221.08"/>
    <n v="9.8314606741573038E-2"/>
    <n v="8.0952380952380956E-2"/>
    <n v="3.0376470588235294"/>
    <n v="2169.44"/>
    <n v="42.01084430673896"/>
  </r>
  <r>
    <d v="2025-01-04T00:00:00"/>
    <x v="38"/>
    <x v="2"/>
    <x v="1"/>
    <x v="0"/>
    <x v="4"/>
    <s v="Mobile"/>
    <n v="14113"/>
    <n v="443"/>
    <n v="13"/>
    <n v="432.89"/>
    <n v="817.78"/>
    <n v="3.1389499043435132E-2"/>
    <n v="2.9345372460496615E-2"/>
    <n v="33.299230769230768"/>
    <n v="384.89"/>
    <n v="0.88911732772759822"/>
  </r>
  <r>
    <d v="2025-01-04T00:00:00"/>
    <x v="39"/>
    <x v="2"/>
    <x v="1"/>
    <x v="0"/>
    <x v="3"/>
    <s v="Mobile"/>
    <n v="18801"/>
    <n v="609"/>
    <n v="15"/>
    <n v="799.48"/>
    <n v="1310.33"/>
    <n v="3.2391894048188929E-2"/>
    <n v="2.4630541871921183E-2"/>
    <n v="53.298666666666669"/>
    <n v="510.84999999999991"/>
    <n v="0.63897783559313537"/>
  </r>
  <r>
    <d v="2025-01-04T00:00:00"/>
    <x v="40"/>
    <x v="1"/>
    <x v="0"/>
    <x v="2"/>
    <x v="1"/>
    <s v="Desktop"/>
    <n v="5710"/>
    <n v="249"/>
    <n v="17"/>
    <n v="722.5"/>
    <n v="1570.28"/>
    <n v="4.3607705779334503E-2"/>
    <n v="6.8273092369477914E-2"/>
    <n v="42.5"/>
    <n v="847.78"/>
    <n v="1.1733979238754324"/>
  </r>
  <r>
    <d v="2025-01-04T00:00:00"/>
    <x v="41"/>
    <x v="5"/>
    <x v="4"/>
    <x v="0"/>
    <x v="2"/>
    <s v="Mobile"/>
    <n v="2735"/>
    <n v="343"/>
    <n v="29"/>
    <n v="71.73"/>
    <n v="2792.69"/>
    <n v="0.12541133455210238"/>
    <n v="8.4548104956268216E-2"/>
    <n v="2.4734482758620691"/>
    <n v="2720.96"/>
    <n v="37.933361215669869"/>
  </r>
  <r>
    <d v="2025-01-04T00:00:00"/>
    <x v="42"/>
    <x v="18"/>
    <x v="4"/>
    <x v="0"/>
    <x v="3"/>
    <s v="Desktop"/>
    <n v="2549"/>
    <n v="347"/>
    <n v="60"/>
    <n v="175.13"/>
    <n v="6838.95"/>
    <n v="0.13613181639858768"/>
    <n v="0.1729106628242075"/>
    <n v="2.9188333333333332"/>
    <n v="6663.82"/>
    <n v="38.050705190429966"/>
  </r>
  <r>
    <d v="2025-01-04T00:00:00"/>
    <x v="43"/>
    <x v="1"/>
    <x v="0"/>
    <x v="1"/>
    <x v="2"/>
    <s v="Tablet"/>
    <n v="14591"/>
    <n v="506"/>
    <n v="13"/>
    <n v="954.55"/>
    <n v="1055.2"/>
    <n v="3.4678911657871292E-2"/>
    <n v="2.5691699604743084E-2"/>
    <n v="73.426923076923075"/>
    <n v="100.65000000000009"/>
    <n v="0.10544235503640469"/>
  </r>
  <r>
    <d v="2025-01-04T00:00:00"/>
    <x v="44"/>
    <x v="13"/>
    <x v="2"/>
    <x v="2"/>
    <x v="3"/>
    <s v="Mobile"/>
    <n v="6020"/>
    <n v="316"/>
    <n v="7"/>
    <n v="1911.46"/>
    <n v="877.59"/>
    <n v="5.2491694352159467E-2"/>
    <n v="2.2151898734177215E-2"/>
    <n v="273.06571428571431"/>
    <n v="-1033.8699999999999"/>
    <n v="-0.54087974637188319"/>
  </r>
  <r>
    <d v="2025-01-05T00:00:00"/>
    <x v="45"/>
    <x v="8"/>
    <x v="3"/>
    <x v="0"/>
    <x v="0"/>
    <s v="Mobile"/>
    <n v="21151"/>
    <n v="210"/>
    <n v="3"/>
    <n v="166.72"/>
    <n v="133.38999999999999"/>
    <n v="9.9286085764266462E-3"/>
    <n v="1.4285714285714285E-2"/>
    <n v="55.573333333333331"/>
    <n v="-33.330000000000013"/>
    <n v="-0.19991602687140123"/>
  </r>
  <r>
    <d v="2025-01-05T00:00:00"/>
    <x v="46"/>
    <x v="9"/>
    <x v="4"/>
    <x v="0"/>
    <x v="3"/>
    <s v="Desktop"/>
    <n v="2636"/>
    <n v="222"/>
    <n v="32"/>
    <n v="63.8"/>
    <n v="4639.57"/>
    <n v="8.4218512898330808E-2"/>
    <n v="0.14414414414414414"/>
    <n v="1.9937499999999999"/>
    <n v="4575.7699999999995"/>
    <n v="71.720532915360494"/>
  </r>
  <r>
    <d v="2025-01-05T00:00:00"/>
    <x v="47"/>
    <x v="3"/>
    <x v="2"/>
    <x v="2"/>
    <x v="2"/>
    <s v="Tablet"/>
    <n v="6397"/>
    <n v="202"/>
    <n v="5"/>
    <n v="1189.75"/>
    <n v="744.32"/>
    <n v="3.1577301860246994E-2"/>
    <n v="2.4752475247524754E-2"/>
    <n v="237.95"/>
    <n v="-445.42999999999995"/>
    <n v="-0.3743895776423618"/>
  </r>
  <r>
    <d v="2025-01-05T00:00:00"/>
    <x v="48"/>
    <x v="3"/>
    <x v="2"/>
    <x v="0"/>
    <x v="4"/>
    <s v="Mobile"/>
    <n v="5683"/>
    <n v="191"/>
    <n v="3"/>
    <n v="0"/>
    <n v="488.05"/>
    <n v="3.3609009326060181E-2"/>
    <n v="1.5706806282722512E-2"/>
    <n v="0"/>
    <n v="488.05"/>
    <n v="0"/>
  </r>
  <r>
    <d v="2025-01-05T00:00:00"/>
    <x v="49"/>
    <x v="8"/>
    <x v="3"/>
    <x v="2"/>
    <x v="1"/>
    <s v="Mobile"/>
    <n v="32669"/>
    <n v="1069"/>
    <n v="13"/>
    <n v="1440.57"/>
    <n v="815.76"/>
    <n v="3.272215249931127E-2"/>
    <n v="1.216089803554724E-2"/>
    <n v="110.81307692307692"/>
    <n v="-624.80999999999995"/>
    <n v="-0.43372415085695243"/>
  </r>
  <r>
    <d v="2025-01-05T00:00:00"/>
    <x v="50"/>
    <x v="12"/>
    <x v="0"/>
    <x v="0"/>
    <x v="1"/>
    <s v="Desktop"/>
    <n v="13491"/>
    <n v="479"/>
    <n v="14"/>
    <n v="1173.53"/>
    <n v="1594.82"/>
    <n v="3.5505151582536504E-2"/>
    <n v="2.9227557411273485E-2"/>
    <n v="83.823571428571427"/>
    <n v="421.28999999999996"/>
    <n v="0.35899380501563655"/>
  </r>
  <r>
    <d v="2025-01-05T00:00:00"/>
    <x v="51"/>
    <x v="12"/>
    <x v="0"/>
    <x v="0"/>
    <x v="3"/>
    <s v="Mobile"/>
    <n v="5950"/>
    <n v="311"/>
    <n v="11"/>
    <n v="724.91"/>
    <n v="1004.94"/>
    <n v="5.2268907563025213E-2"/>
    <n v="3.5369774919614148E-2"/>
    <n v="65.900909090909082"/>
    <n v="280.03000000000009"/>
    <n v="0.38629622987681245"/>
  </r>
  <r>
    <d v="2025-01-05T00:00:00"/>
    <x v="52"/>
    <x v="15"/>
    <x v="1"/>
    <x v="0"/>
    <x v="4"/>
    <s v="Mobile"/>
    <n v="16579"/>
    <n v="561"/>
    <n v="8"/>
    <n v="555.66999999999996"/>
    <n v="641.65"/>
    <n v="3.3837987815911692E-2"/>
    <n v="1.4260249554367201E-2"/>
    <n v="69.458749999999995"/>
    <n v="85.980000000000018"/>
    <n v="0.15473212518221252"/>
  </r>
  <r>
    <d v="2025-01-05T00:00:00"/>
    <x v="53"/>
    <x v="1"/>
    <x v="0"/>
    <x v="0"/>
    <x v="2"/>
    <s v="Desktop"/>
    <n v="5702"/>
    <n v="164"/>
    <n v="5"/>
    <n v="473.57"/>
    <n v="359.91"/>
    <n v="2.8761837951595932E-2"/>
    <n v="3.048780487804878E-2"/>
    <n v="94.713999999999999"/>
    <n v="-113.65999999999997"/>
    <n v="-0.24000675718478781"/>
  </r>
  <r>
    <d v="2025-01-05T00:00:00"/>
    <x v="54"/>
    <x v="12"/>
    <x v="0"/>
    <x v="1"/>
    <x v="3"/>
    <s v="Desktop"/>
    <n v="5404"/>
    <n v="179"/>
    <n v="5"/>
    <n v="499.93"/>
    <n v="397.43"/>
    <n v="3.3123612139156183E-2"/>
    <n v="2.7932960893854747E-2"/>
    <n v="99.986000000000004"/>
    <n v="-102.5"/>
    <n v="-0.2050287040185626"/>
  </r>
  <r>
    <d v="2025-01-05T00:00:00"/>
    <x v="55"/>
    <x v="11"/>
    <x v="1"/>
    <x v="1"/>
    <x v="4"/>
    <s v="Mobile"/>
    <n v="13129"/>
    <n v="381"/>
    <n v="4"/>
    <n v="650.54999999999995"/>
    <n v="324.76"/>
    <n v="2.9019727321197349E-2"/>
    <n v="1.0498687664041995E-2"/>
    <n v="162.63749999999999"/>
    <n v="-325.78999999999996"/>
    <n v="-0.50079163784490044"/>
  </r>
  <r>
    <d v="2025-01-06T00:00:00"/>
    <x v="56"/>
    <x v="14"/>
    <x v="1"/>
    <x v="0"/>
    <x v="1"/>
    <s v="Mobile"/>
    <n v="19886"/>
    <n v="851"/>
    <n v="19"/>
    <n v="1171.42"/>
    <n v="1175.83"/>
    <n v="4.2793925374635423E-2"/>
    <n v="2.2326674500587545E-2"/>
    <n v="61.653684210526322"/>
    <n v="4.4099999999998545"/>
    <n v="3.7646616926464071E-3"/>
  </r>
  <r>
    <d v="2025-01-06T00:00:00"/>
    <x v="57"/>
    <x v="11"/>
    <x v="1"/>
    <x v="1"/>
    <x v="2"/>
    <s v="Mobile"/>
    <n v="12752"/>
    <n v="320"/>
    <n v="5"/>
    <n v="421.75"/>
    <n v="258.95999999999998"/>
    <n v="2.5094102885821833E-2"/>
    <n v="1.5625E-2"/>
    <n v="84.35"/>
    <n v="-162.79000000000002"/>
    <n v="-0.38598695909899233"/>
  </r>
  <r>
    <d v="2025-01-06T00:00:00"/>
    <x v="58"/>
    <x v="7"/>
    <x v="2"/>
    <x v="2"/>
    <x v="2"/>
    <s v="Desktop"/>
    <n v="3036"/>
    <n v="119"/>
    <n v="5"/>
    <n v="890.95"/>
    <n v="844.2"/>
    <n v="3.9196310935441368E-2"/>
    <n v="4.2016806722689079E-2"/>
    <n v="178.19"/>
    <n v="-46.75"/>
    <n v="-5.2472080363656769E-2"/>
  </r>
  <r>
    <d v="2025-01-06T00:00:00"/>
    <x v="59"/>
    <x v="11"/>
    <x v="1"/>
    <x v="0"/>
    <x v="3"/>
    <s v="Mobile"/>
    <n v="9776"/>
    <n v="223"/>
    <n v="6"/>
    <n v="266.67"/>
    <n v="594.66999999999996"/>
    <n v="2.2810965630114567E-2"/>
    <n v="2.6905829596412557E-2"/>
    <n v="44.445"/>
    <n v="327.99999999999994"/>
    <n v="1.2299846251921849"/>
  </r>
  <r>
    <d v="2025-01-06T00:00:00"/>
    <x v="60"/>
    <x v="6"/>
    <x v="3"/>
    <x v="0"/>
    <x v="0"/>
    <s v="Desktop"/>
    <n v="30180"/>
    <n v="907"/>
    <n v="10"/>
    <n v="944.83"/>
    <n v="523.66"/>
    <n v="3.0053015241882041E-2"/>
    <n v="1.1025358324145534E-2"/>
    <n v="94.483000000000004"/>
    <n v="-421.17000000000007"/>
    <n v="-0.44576272980324511"/>
  </r>
  <r>
    <d v="2025-01-06T00:00:00"/>
    <x v="61"/>
    <x v="15"/>
    <x v="1"/>
    <x v="1"/>
    <x v="1"/>
    <s v="Desktop"/>
    <n v="8992"/>
    <n v="294"/>
    <n v="7"/>
    <n v="450.53"/>
    <n v="442.33"/>
    <n v="3.2695729537366547E-2"/>
    <n v="2.3809523809523808E-2"/>
    <n v="64.361428571428561"/>
    <n v="-8.1999999999999886"/>
    <n v="-1.8200785741238071E-2"/>
  </r>
  <r>
    <d v="2025-01-06T00:00:00"/>
    <x v="62"/>
    <x v="10"/>
    <x v="3"/>
    <x v="0"/>
    <x v="1"/>
    <s v="Mobile"/>
    <n v="29688"/>
    <n v="874"/>
    <n v="6"/>
    <n v="829.22"/>
    <n v="288.58"/>
    <n v="2.9439504176771759E-2"/>
    <n v="6.8649885583524023E-3"/>
    <n v="138.20333333333335"/>
    <n v="-540.6400000000001"/>
    <n v="-0.65198620390246265"/>
  </r>
  <r>
    <d v="2025-01-06T00:00:00"/>
    <x v="63"/>
    <x v="16"/>
    <x v="2"/>
    <x v="1"/>
    <x v="0"/>
    <s v="Mobile"/>
    <n v="3707"/>
    <n v="172"/>
    <n v="1"/>
    <n v="840.08"/>
    <n v="165.22"/>
    <n v="4.639870515241435E-2"/>
    <n v="5.8139534883720929E-3"/>
    <n v="840.08"/>
    <n v="-674.86"/>
    <n v="-0.80332825445195688"/>
  </r>
  <r>
    <d v="2025-01-06T00:00:00"/>
    <x v="64"/>
    <x v="18"/>
    <x v="4"/>
    <x v="0"/>
    <x v="1"/>
    <s v="Mobile"/>
    <n v="2945"/>
    <n v="310"/>
    <n v="23"/>
    <n v="95.26"/>
    <n v="1890.16"/>
    <n v="0.10526315789473684"/>
    <n v="7.4193548387096769E-2"/>
    <n v="4.1417391304347833"/>
    <n v="1794.9"/>
    <n v="18.842116313247953"/>
  </r>
  <r>
    <d v="2025-01-06T00:00:00"/>
    <x v="65"/>
    <x v="4"/>
    <x v="3"/>
    <x v="2"/>
    <x v="2"/>
    <s v="Tablet"/>
    <n v="26628"/>
    <n v="363"/>
    <n v="9"/>
    <n v="340.36"/>
    <n v="495.46"/>
    <n v="1.3632266786840919E-2"/>
    <n v="2.4793388429752067E-2"/>
    <n v="37.817777777777778"/>
    <n v="155.09999999999997"/>
    <n v="0.4556939710894346"/>
  </r>
  <r>
    <d v="2025-01-06T00:00:00"/>
    <x v="66"/>
    <x v="3"/>
    <x v="2"/>
    <x v="0"/>
    <x v="1"/>
    <s v="Mobile"/>
    <n v="5973"/>
    <n v="259"/>
    <n v="6"/>
    <n v="2072.7600000000002"/>
    <n v="862.79"/>
    <n v="4.3361794743010211E-2"/>
    <n v="2.3166023166023165E-2"/>
    <n v="345.46000000000004"/>
    <n v="-1209.9700000000003"/>
    <n v="-0.58374823906289208"/>
  </r>
  <r>
    <d v="2025-01-06T00:00:00"/>
    <x v="67"/>
    <x v="10"/>
    <x v="3"/>
    <x v="1"/>
    <x v="3"/>
    <s v="Mobile"/>
    <n v="15781"/>
    <n v="385"/>
    <n v="4"/>
    <n v="461.88"/>
    <n v="100.37"/>
    <n v="2.4396426081997338E-2"/>
    <n v="1.038961038961039E-2"/>
    <n v="115.47"/>
    <n v="-361.51"/>
    <n v="-0.78269247423573218"/>
  </r>
  <r>
    <d v="2025-01-07T00:00:00"/>
    <x v="68"/>
    <x v="8"/>
    <x v="3"/>
    <x v="2"/>
    <x v="0"/>
    <s v="Desktop"/>
    <n v="39666"/>
    <n v="519"/>
    <n v="15"/>
    <n v="666.33"/>
    <n v="914.71"/>
    <n v="1.308425351686583E-2"/>
    <n v="2.8901734104046242E-2"/>
    <n v="44.422000000000004"/>
    <n v="248.38"/>
    <n v="0.37275824291267085"/>
  </r>
  <r>
    <d v="2025-01-07T00:00:00"/>
    <x v="69"/>
    <x v="18"/>
    <x v="4"/>
    <x v="1"/>
    <x v="3"/>
    <s v="Mobile"/>
    <n v="1516"/>
    <n v="201"/>
    <n v="17"/>
    <n v="59.9"/>
    <n v="2226.5300000000002"/>
    <n v="0.13258575197889183"/>
    <n v="8.45771144278607E-2"/>
    <n v="3.5235294117647058"/>
    <n v="2166.63"/>
    <n v="36.170784641068451"/>
  </r>
  <r>
    <d v="2025-01-07T00:00:00"/>
    <x v="70"/>
    <x v="12"/>
    <x v="0"/>
    <x v="1"/>
    <x v="1"/>
    <s v="Desktop"/>
    <n v="8270"/>
    <n v="317"/>
    <n v="10"/>
    <n v="960.75"/>
    <n v="626.41999999999996"/>
    <n v="3.8331318016928656E-2"/>
    <n v="3.1545741324921134E-2"/>
    <n v="96.075000000000003"/>
    <n v="-334.33000000000004"/>
    <n v="-0.34798855061150147"/>
  </r>
  <r>
    <d v="2025-01-07T00:00:00"/>
    <x v="71"/>
    <x v="1"/>
    <x v="0"/>
    <x v="2"/>
    <x v="3"/>
    <s v="Mobile"/>
    <n v="11752"/>
    <n v="659"/>
    <n v="29"/>
    <n v="1623.39"/>
    <n v="2642.93"/>
    <n v="5.6075561606535061E-2"/>
    <n v="4.4006069802731411E-2"/>
    <n v="55.978965517241384"/>
    <n v="1019.5399999999997"/>
    <n v="0.62803146502072804"/>
  </r>
  <r>
    <d v="2025-01-07T00:00:00"/>
    <x v="72"/>
    <x v="10"/>
    <x v="3"/>
    <x v="0"/>
    <x v="2"/>
    <s v="Mobile"/>
    <n v="36245"/>
    <n v="573"/>
    <n v="8"/>
    <n v="509.6"/>
    <n v="556.73"/>
    <n v="1.5809077114084701E-2"/>
    <n v="1.3961605584642234E-2"/>
    <n v="63.7"/>
    <n v="47.129999999999995"/>
    <n v="9.2484301412872824E-2"/>
  </r>
  <r>
    <d v="2025-01-07T00:00:00"/>
    <x v="73"/>
    <x v="6"/>
    <x v="3"/>
    <x v="0"/>
    <x v="1"/>
    <s v="Mobile"/>
    <n v="33744"/>
    <n v="1101"/>
    <n v="12"/>
    <n v="1392.6"/>
    <n v="840.56"/>
    <n v="3.2628022759601708E-2"/>
    <n v="1.0899182561307902E-2"/>
    <n v="116.05"/>
    <n v="-552.04"/>
    <n v="-0.39640959356599165"/>
  </r>
  <r>
    <d v="2025-01-07T00:00:00"/>
    <x v="74"/>
    <x v="9"/>
    <x v="4"/>
    <x v="2"/>
    <x v="3"/>
    <s v="Desktop"/>
    <n v="2891"/>
    <n v="429"/>
    <n v="76"/>
    <n v="206.36"/>
    <n v="6939.3"/>
    <n v="0.14839156001383605"/>
    <n v="0.17715617715617715"/>
    <n v="2.715263157894737"/>
    <n v="6732.9400000000005"/>
    <n v="32.627156425663891"/>
  </r>
  <r>
    <d v="2025-01-07T00:00:00"/>
    <x v="75"/>
    <x v="19"/>
    <x v="4"/>
    <x v="1"/>
    <x v="2"/>
    <s v="Mobile"/>
    <n v="1185"/>
    <n v="128"/>
    <n v="8"/>
    <n v="32.24"/>
    <n v="1078.56"/>
    <n v="0.1080168776371308"/>
    <n v="6.25E-2"/>
    <n v="4.03"/>
    <n v="1046.32"/>
    <n v="32.454094292803966"/>
  </r>
  <r>
    <d v="2025-01-07T00:00:00"/>
    <x v="76"/>
    <x v="14"/>
    <x v="1"/>
    <x v="0"/>
    <x v="1"/>
    <s v="Desktop"/>
    <n v="8486"/>
    <n v="226"/>
    <n v="8"/>
    <n v="429.77"/>
    <n v="827.46"/>
    <n v="2.663209992929531E-2"/>
    <n v="3.5398230088495575E-2"/>
    <n v="53.721249999999998"/>
    <n v="397.69000000000005"/>
    <n v="0.9253554226679388"/>
  </r>
  <r>
    <d v="2025-01-07T00:00:00"/>
    <x v="77"/>
    <x v="6"/>
    <x v="3"/>
    <x v="0"/>
    <x v="2"/>
    <s v="Mobile"/>
    <n v="38192"/>
    <n v="615"/>
    <n v="1"/>
    <n v="0"/>
    <n v="41.31"/>
    <n v="1.6102848764139088E-2"/>
    <n v="1.6260162601626016E-3"/>
    <n v="0"/>
    <n v="41.31"/>
    <n v="0"/>
  </r>
  <r>
    <d v="2025-01-07T00:00:00"/>
    <x v="78"/>
    <x v="3"/>
    <x v="2"/>
    <x v="0"/>
    <x v="1"/>
    <s v="Desktop"/>
    <n v="2422"/>
    <n v="94"/>
    <n v="1"/>
    <n v="684.65"/>
    <n v="135.76"/>
    <n v="3.8810900082576386E-2"/>
    <n v="1.0638297872340425E-2"/>
    <n v="684.65"/>
    <n v="-548.89"/>
    <n v="-0.80170890235886949"/>
  </r>
  <r>
    <d v="2025-01-07T00:00:00"/>
    <x v="79"/>
    <x v="10"/>
    <x v="3"/>
    <x v="0"/>
    <x v="3"/>
    <s v="Tablet"/>
    <n v="23265"/>
    <n v="419"/>
    <n v="9"/>
    <n v="398.53"/>
    <n v="650.82000000000005"/>
    <n v="1.8009886094992478E-2"/>
    <n v="2.1479713603818614E-2"/>
    <n v="44.281111111111109"/>
    <n v="252.29000000000008"/>
    <n v="0.63305146413068047"/>
  </r>
  <r>
    <d v="2025-01-07T00:00:00"/>
    <x v="80"/>
    <x v="18"/>
    <x v="4"/>
    <x v="2"/>
    <x v="0"/>
    <s v="Desktop"/>
    <n v="1141"/>
    <n v="159"/>
    <n v="40"/>
    <n v="65.09"/>
    <n v="4356.62"/>
    <n v="0.13935144609991235"/>
    <n v="0.25157232704402516"/>
    <n v="1.6272500000000001"/>
    <n v="4291.53"/>
    <n v="65.932247657090173"/>
  </r>
  <r>
    <d v="2025-01-07T00:00:00"/>
    <x v="81"/>
    <x v="3"/>
    <x v="2"/>
    <x v="2"/>
    <x v="0"/>
    <s v="Mobile"/>
    <n v="6966"/>
    <n v="295"/>
    <n v="8"/>
    <n v="2160.11"/>
    <n v="1171.32"/>
    <n v="4.2348550100488082E-2"/>
    <n v="2.7118644067796609E-2"/>
    <n v="270.01375000000002"/>
    <n v="-988.79000000000019"/>
    <n v="-0.457749836813866"/>
  </r>
  <r>
    <d v="2025-01-08T00:00:00"/>
    <x v="82"/>
    <x v="7"/>
    <x v="2"/>
    <x v="0"/>
    <x v="2"/>
    <s v="Desktop"/>
    <n v="2927"/>
    <n v="119"/>
    <n v="3"/>
    <n v="551.25"/>
    <n v="319.44"/>
    <n v="4.0655961735565425E-2"/>
    <n v="2.5210084033613446E-2"/>
    <n v="183.75"/>
    <n v="-231.81"/>
    <n v="-0.42051700680272108"/>
  </r>
  <r>
    <d v="2025-01-08T00:00:00"/>
    <x v="83"/>
    <x v="6"/>
    <x v="3"/>
    <x v="0"/>
    <x v="2"/>
    <s v="Mobile"/>
    <n v="30220"/>
    <n v="586"/>
    <n v="4"/>
    <n v="773.35"/>
    <n v="281.75"/>
    <n v="1.9391131700860358E-2"/>
    <n v="6.8259385665529011E-3"/>
    <n v="193.33750000000001"/>
    <n v="-491.6"/>
    <n v="-0.63567595525958498"/>
  </r>
  <r>
    <d v="2025-01-08T00:00:00"/>
    <x v="84"/>
    <x v="8"/>
    <x v="3"/>
    <x v="1"/>
    <x v="2"/>
    <s v="Desktop"/>
    <n v="27624"/>
    <n v="376"/>
    <n v="3"/>
    <n v="391.46"/>
    <n v="158.85"/>
    <n v="1.3611352447147408E-2"/>
    <n v="7.9787234042553185E-3"/>
    <n v="130.48666666666665"/>
    <n v="-232.60999999999999"/>
    <n v="-0.59421141368211305"/>
  </r>
  <r>
    <d v="2025-01-08T00:00:00"/>
    <x v="85"/>
    <x v="4"/>
    <x v="3"/>
    <x v="0"/>
    <x v="3"/>
    <s v="Mobile"/>
    <n v="29575"/>
    <n v="520"/>
    <n v="6"/>
    <n v="593.34"/>
    <n v="371.51"/>
    <n v="1.7582417582417582E-2"/>
    <n v="1.1538461538461539E-2"/>
    <n v="98.89"/>
    <n v="-221.83000000000004"/>
    <n v="-0.3738665857686993"/>
  </r>
  <r>
    <d v="2025-01-08T00:00:00"/>
    <x v="86"/>
    <x v="6"/>
    <x v="3"/>
    <x v="0"/>
    <x v="0"/>
    <s v="Desktop"/>
    <n v="31884"/>
    <n v="539"/>
    <n v="6"/>
    <n v="727.72"/>
    <n v="264.32"/>
    <n v="1.6905030736419521E-2"/>
    <n v="1.1131725417439703E-2"/>
    <n v="121.28666666666668"/>
    <n v="-463.40000000000003"/>
    <n v="-0.63678337822239328"/>
  </r>
  <r>
    <d v="2025-01-08T00:00:00"/>
    <x v="87"/>
    <x v="7"/>
    <x v="2"/>
    <x v="0"/>
    <x v="2"/>
    <s v="Mobile"/>
    <n v="6590"/>
    <n v="266"/>
    <n v="2"/>
    <n v="1943.45"/>
    <n v="19.559999999999999"/>
    <n v="4.0364188163884672E-2"/>
    <n v="7.5187969924812026E-3"/>
    <n v="971.72500000000002"/>
    <n v="-1923.89"/>
    <n v="-0.98993542411690549"/>
  </r>
  <r>
    <d v="2025-01-08T00:00:00"/>
    <x v="88"/>
    <x v="12"/>
    <x v="0"/>
    <x v="0"/>
    <x v="3"/>
    <s v="Desktop"/>
    <n v="11303"/>
    <n v="581"/>
    <n v="27"/>
    <n v="1501.36"/>
    <n v="2465.5300000000002"/>
    <n v="5.1402282579846061E-2"/>
    <n v="4.6471600688468159E-2"/>
    <n v="55.605925925925924"/>
    <n v="964.1700000000003"/>
    <n v="0.64219774071508529"/>
  </r>
  <r>
    <d v="2025-01-08T00:00:00"/>
    <x v="89"/>
    <x v="2"/>
    <x v="1"/>
    <x v="2"/>
    <x v="3"/>
    <s v="Mobile"/>
    <n v="8318"/>
    <n v="303"/>
    <n v="11"/>
    <n v="322.94"/>
    <n v="1031.79"/>
    <n v="3.6427025727338302E-2"/>
    <n v="3.6303630363036306E-2"/>
    <n v="29.358181818181819"/>
    <n v="708.84999999999991"/>
    <n v="2.1949897813835384"/>
  </r>
  <r>
    <d v="2025-01-08T00:00:00"/>
    <x v="90"/>
    <x v="14"/>
    <x v="1"/>
    <x v="2"/>
    <x v="2"/>
    <s v="Desktop"/>
    <n v="14836"/>
    <n v="396"/>
    <n v="20"/>
    <n v="389.79"/>
    <n v="1594.86"/>
    <n v="2.6691830682124561E-2"/>
    <n v="5.0505050505050504E-2"/>
    <n v="19.4895"/>
    <n v="1205.07"/>
    <n v="3.0915877780343259"/>
  </r>
  <r>
    <d v="2025-01-08T00:00:00"/>
    <x v="91"/>
    <x v="14"/>
    <x v="1"/>
    <x v="2"/>
    <x v="0"/>
    <s v="Mobile"/>
    <n v="19947"/>
    <n v="464"/>
    <n v="21"/>
    <n v="681.13"/>
    <n v="1785.96"/>
    <n v="2.3261643354890459E-2"/>
    <n v="4.5258620689655173E-2"/>
    <n v="32.434761904761906"/>
    <n v="1104.83"/>
    <n v="1.6220545270359548"/>
  </r>
  <r>
    <d v="2025-01-08T00:00:00"/>
    <x v="92"/>
    <x v="1"/>
    <x v="0"/>
    <x v="0"/>
    <x v="0"/>
    <s v="Tablet"/>
    <n v="13512"/>
    <n v="408"/>
    <n v="12"/>
    <n v="994.14"/>
    <n v="1425.75"/>
    <n v="3.0195381882770871E-2"/>
    <n v="2.9411764705882353E-2"/>
    <n v="82.844999999999999"/>
    <n v="431.61"/>
    <n v="0.4341541432796186"/>
  </r>
  <r>
    <d v="2025-01-08T00:00:00"/>
    <x v="93"/>
    <x v="15"/>
    <x v="1"/>
    <x v="0"/>
    <x v="0"/>
    <s v="Mobile"/>
    <n v="9217"/>
    <n v="286"/>
    <n v="3"/>
    <n v="460.83"/>
    <n v="160.77000000000001"/>
    <n v="3.1029619181946404E-2"/>
    <n v="1.048951048951049E-2"/>
    <n v="153.60999999999999"/>
    <n v="-300.05999999999995"/>
    <n v="-0.65112948375756774"/>
  </r>
  <r>
    <d v="2025-01-08T00:00:00"/>
    <x v="94"/>
    <x v="8"/>
    <x v="3"/>
    <x v="1"/>
    <x v="1"/>
    <s v="Mobile"/>
    <n v="19995"/>
    <n v="375"/>
    <n v="2"/>
    <n v="395.98"/>
    <n v="35.049999999999997"/>
    <n v="1.8754688672168042E-2"/>
    <n v="5.3333333333333332E-3"/>
    <n v="197.99"/>
    <n v="-360.93"/>
    <n v="-0.91148542855699777"/>
  </r>
  <r>
    <d v="2025-01-09T00:00:00"/>
    <x v="95"/>
    <x v="18"/>
    <x v="4"/>
    <x v="1"/>
    <x v="0"/>
    <s v="Desktop"/>
    <n v="2505"/>
    <n v="254"/>
    <n v="32"/>
    <n v="81.23"/>
    <n v="2819.18"/>
    <n v="0.10139720558882236"/>
    <n v="0.12598425196850394"/>
    <n v="2.5384375000000001"/>
    <n v="2737.95"/>
    <n v="33.706143050597063"/>
  </r>
  <r>
    <d v="2025-01-09T00:00:00"/>
    <x v="96"/>
    <x v="18"/>
    <x v="4"/>
    <x v="0"/>
    <x v="2"/>
    <s v="Mobile"/>
    <n v="4540"/>
    <n v="458"/>
    <n v="57"/>
    <n v="202.66"/>
    <n v="4857.7700000000004"/>
    <n v="0.10088105726872247"/>
    <n v="0.12445414847161572"/>
    <n v="3.5554385964912281"/>
    <n v="4655.1100000000006"/>
    <n v="22.970048356853848"/>
  </r>
  <r>
    <d v="2025-01-09T00:00:00"/>
    <x v="97"/>
    <x v="16"/>
    <x v="2"/>
    <x v="0"/>
    <x v="4"/>
    <s v="Desktop"/>
    <n v="5449"/>
    <n v="276"/>
    <n v="4"/>
    <n v="1188.67"/>
    <n v="449.04"/>
    <n v="5.0651495687282069E-2"/>
    <n v="1.4492753623188406E-2"/>
    <n v="297.16750000000002"/>
    <n v="-739.63000000000011"/>
    <n v="-0.62223325229037496"/>
  </r>
  <r>
    <d v="2025-01-09T00:00:00"/>
    <x v="98"/>
    <x v="13"/>
    <x v="2"/>
    <x v="1"/>
    <x v="4"/>
    <s v="Mobile"/>
    <n v="6244"/>
    <n v="183"/>
    <n v="2"/>
    <n v="691.09"/>
    <n v="236.11"/>
    <n v="2.9308135810377962E-2"/>
    <n v="1.092896174863388E-2"/>
    <n v="345.54500000000002"/>
    <n v="-454.98"/>
    <n v="-0.65835130012010012"/>
  </r>
  <r>
    <d v="2025-01-09T00:00:00"/>
    <x v="99"/>
    <x v="7"/>
    <x v="2"/>
    <x v="2"/>
    <x v="3"/>
    <s v="Mobile"/>
    <n v="6287"/>
    <n v="378"/>
    <n v="4"/>
    <n v="1795.82"/>
    <n v="444.64"/>
    <n v="6.0124065532050262E-2"/>
    <n v="1.0582010582010581E-2"/>
    <n v="448.95499999999998"/>
    <n v="-1351.1799999999998"/>
    <n v="-0.75240280206256749"/>
  </r>
  <r>
    <d v="2025-01-09T00:00:00"/>
    <x v="100"/>
    <x v="0"/>
    <x v="0"/>
    <x v="0"/>
    <x v="0"/>
    <s v="Desktop"/>
    <n v="7152"/>
    <n v="378"/>
    <n v="19"/>
    <n v="871.89"/>
    <n v="2306.2199999999998"/>
    <n v="5.2852348993288591E-2"/>
    <n v="5.0264550264550262E-2"/>
    <n v="45.88894736842105"/>
    <n v="1434.33"/>
    <n v="1.6450813749440869"/>
  </r>
  <r>
    <d v="2025-01-09T00:00:00"/>
    <x v="101"/>
    <x v="2"/>
    <x v="1"/>
    <x v="0"/>
    <x v="4"/>
    <s v="Mobile"/>
    <n v="19852"/>
    <n v="386"/>
    <n v="11"/>
    <n v="525.51"/>
    <n v="1087.93"/>
    <n v="1.9443884747128753E-2"/>
    <n v="2.8497409326424871E-2"/>
    <n v="47.773636363636363"/>
    <n v="562.42000000000007"/>
    <n v="1.0702365321306921"/>
  </r>
  <r>
    <d v="2025-01-09T00:00:00"/>
    <x v="102"/>
    <x v="16"/>
    <x v="2"/>
    <x v="2"/>
    <x v="0"/>
    <s v="Mobile"/>
    <n v="6404"/>
    <n v="260"/>
    <n v="7"/>
    <n v="1706.33"/>
    <n v="1098.71"/>
    <n v="4.0599625234228609E-2"/>
    <n v="2.6923076923076925E-2"/>
    <n v="243.76142857142855"/>
    <n v="-607.61999999999989"/>
    <n v="-0.35609758956356619"/>
  </r>
  <r>
    <d v="2025-01-09T00:00:00"/>
    <x v="103"/>
    <x v="19"/>
    <x v="4"/>
    <x v="0"/>
    <x v="3"/>
    <s v="Mobile"/>
    <n v="3301"/>
    <n v="324"/>
    <n v="27"/>
    <n v="105.84"/>
    <n v="3639.42"/>
    <n v="9.8152075128748864E-2"/>
    <n v="8.3333333333333329E-2"/>
    <n v="3.92"/>
    <n v="3533.58"/>
    <n v="33.386054421768705"/>
  </r>
  <r>
    <d v="2025-01-09T00:00:00"/>
    <x v="104"/>
    <x v="10"/>
    <x v="3"/>
    <x v="1"/>
    <x v="2"/>
    <s v="Mobile"/>
    <n v="34349"/>
    <n v="691"/>
    <n v="2"/>
    <n v="1004.21"/>
    <n v="133.85"/>
    <n v="2.0117033974788204E-2"/>
    <n v="2.8943560057887118E-3"/>
    <n v="502.10500000000002"/>
    <n v="-870.36"/>
    <n v="-0.86671114607502409"/>
  </r>
  <r>
    <d v="2025-01-09T00:00:00"/>
    <x v="105"/>
    <x v="8"/>
    <x v="3"/>
    <x v="2"/>
    <x v="4"/>
    <s v="Tablet"/>
    <n v="35046"/>
    <n v="988"/>
    <n v="20"/>
    <n v="1114.4100000000001"/>
    <n v="1367.68"/>
    <n v="2.8191519716943447E-2"/>
    <n v="2.0242914979757085E-2"/>
    <n v="55.720500000000001"/>
    <n v="253.26999999999998"/>
    <n v="0.22726824059367734"/>
  </r>
  <r>
    <d v="2025-01-09T00:00:00"/>
    <x v="106"/>
    <x v="17"/>
    <x v="0"/>
    <x v="0"/>
    <x v="3"/>
    <s v="Mobile"/>
    <n v="10546"/>
    <n v="405"/>
    <n v="14"/>
    <n v="872.25"/>
    <n v="1655.39"/>
    <n v="3.8403186042101273E-2"/>
    <n v="3.4567901234567898E-2"/>
    <n v="62.303571428571431"/>
    <n v="783.1400000000001"/>
    <n v="0.89783892232731455"/>
  </r>
  <r>
    <d v="2025-01-09T00:00:00"/>
    <x v="107"/>
    <x v="6"/>
    <x v="3"/>
    <x v="0"/>
    <x v="4"/>
    <s v="Mobile"/>
    <n v="39049"/>
    <n v="1267"/>
    <n v="11"/>
    <n v="1170.51"/>
    <n v="871.05"/>
    <n v="3.2446413480498863E-2"/>
    <n v="8.6819258089976328E-3"/>
    <n v="106.41"/>
    <n v="-299.46000000000004"/>
    <n v="-0.2558371991695928"/>
  </r>
  <r>
    <d v="2025-01-10T00:00:00"/>
    <x v="108"/>
    <x v="6"/>
    <x v="3"/>
    <x v="2"/>
    <x v="0"/>
    <s v="Mobile"/>
    <n v="29396"/>
    <n v="533"/>
    <n v="7"/>
    <n v="685.33"/>
    <n v="552.22"/>
    <n v="1.8131718601170226E-2"/>
    <n v="1.3133208255159476E-2"/>
    <n v="97.90428571428572"/>
    <n v="-133.11000000000001"/>
    <n v="-0.19422759838326062"/>
  </r>
  <r>
    <d v="2025-01-10T00:00:00"/>
    <x v="109"/>
    <x v="18"/>
    <x v="4"/>
    <x v="0"/>
    <x v="4"/>
    <s v="Mobile"/>
    <n v="2356"/>
    <n v="319"/>
    <n v="43"/>
    <n v="135.85"/>
    <n v="3850.78"/>
    <n v="0.13539898132427844"/>
    <n v="0.13479623824451412"/>
    <n v="3.159302325581395"/>
    <n v="3714.9300000000003"/>
    <n v="27.345822598454181"/>
  </r>
  <r>
    <d v="2025-01-10T00:00:00"/>
    <x v="110"/>
    <x v="17"/>
    <x v="0"/>
    <x v="0"/>
    <x v="1"/>
    <s v="Desktop"/>
    <n v="5807"/>
    <n v="305"/>
    <n v="17"/>
    <n v="796.56"/>
    <n v="1633.37"/>
    <n v="5.2522817289478219E-2"/>
    <n v="5.5737704918032788E-2"/>
    <n v="46.85647058823529"/>
    <n v="836.81"/>
    <n v="1.050529778045596"/>
  </r>
  <r>
    <d v="2025-01-10T00:00:00"/>
    <x v="111"/>
    <x v="11"/>
    <x v="1"/>
    <x v="1"/>
    <x v="1"/>
    <s v="Mobile"/>
    <n v="11450"/>
    <n v="341"/>
    <n v="4"/>
    <n v="442.2"/>
    <n v="371.81"/>
    <n v="2.9781659388646287E-2"/>
    <n v="1.1730205278592375E-2"/>
    <n v="110.55"/>
    <n v="-70.389999999999986"/>
    <n v="-0.15918136589778378"/>
  </r>
  <r>
    <d v="2025-01-10T00:00:00"/>
    <x v="112"/>
    <x v="19"/>
    <x v="4"/>
    <x v="0"/>
    <x v="1"/>
    <s v="Mobile"/>
    <n v="4244"/>
    <n v="554"/>
    <n v="52"/>
    <n v="0"/>
    <n v="4858.5"/>
    <n v="0.13053722902921772"/>
    <n v="9.3862815884476536E-2"/>
    <n v="0"/>
    <n v="4858.5"/>
    <n v="0"/>
  </r>
  <r>
    <d v="2025-01-10T00:00:00"/>
    <x v="113"/>
    <x v="13"/>
    <x v="2"/>
    <x v="1"/>
    <x v="0"/>
    <s v="Mobile"/>
    <n v="6434"/>
    <n v="248"/>
    <n v="1"/>
    <n v="1255.67"/>
    <n v="177.65"/>
    <n v="3.854522847373329E-2"/>
    <n v="4.0322580645161289E-3"/>
    <n v="1255.67"/>
    <n v="-1078.02"/>
    <n v="-0.85852174536303316"/>
  </r>
  <r>
    <d v="2025-01-10T00:00:00"/>
    <x v="114"/>
    <x v="2"/>
    <x v="1"/>
    <x v="0"/>
    <x v="1"/>
    <s v="Desktop"/>
    <n v="17083"/>
    <n v="614"/>
    <n v="21"/>
    <n v="745.39"/>
    <n v="2177.4"/>
    <n v="3.5942164725165371E-2"/>
    <n v="3.4201954397394138E-2"/>
    <n v="35.494761904761901"/>
    <n v="1432.0100000000002"/>
    <n v="1.9211553683306728"/>
  </r>
  <r>
    <d v="2025-01-10T00:00:00"/>
    <x v="115"/>
    <x v="13"/>
    <x v="2"/>
    <x v="0"/>
    <x v="2"/>
    <s v="Mobile"/>
    <n v="6446"/>
    <n v="365"/>
    <n v="4"/>
    <n v="2854.25"/>
    <n v="93.46"/>
    <n v="5.6624263108904747E-2"/>
    <n v="1.0958904109589041E-2"/>
    <n v="713.5625"/>
    <n v="-2760.79"/>
    <n v="-0.96725584654462637"/>
  </r>
  <r>
    <d v="2025-01-10T00:00:00"/>
    <x v="116"/>
    <x v="6"/>
    <x v="3"/>
    <x v="0"/>
    <x v="3"/>
    <s v="Desktop"/>
    <n v="29058"/>
    <n v="612"/>
    <n v="11"/>
    <n v="643.16999999999996"/>
    <n v="469.2"/>
    <n v="2.1061325624612843E-2"/>
    <n v="1.7973856209150325E-2"/>
    <n v="58.47"/>
    <n v="-173.96999999999997"/>
    <n v="-0.27048836233033252"/>
  </r>
  <r>
    <d v="2025-01-10T00:00:00"/>
    <x v="117"/>
    <x v="2"/>
    <x v="1"/>
    <x v="2"/>
    <x v="1"/>
    <s v="Mobile"/>
    <n v="11716"/>
    <n v="408"/>
    <n v="14"/>
    <n v="455.4"/>
    <n v="865.93"/>
    <n v="3.4824172072379651E-2"/>
    <n v="3.4313725490196081E-2"/>
    <n v="32.528571428571425"/>
    <n v="410.53"/>
    <n v="0.90147123407992968"/>
  </r>
  <r>
    <d v="2025-01-10T00:00:00"/>
    <x v="118"/>
    <x v="14"/>
    <x v="1"/>
    <x v="2"/>
    <x v="2"/>
    <s v="Mobile"/>
    <n v="19815"/>
    <n v="737"/>
    <n v="29"/>
    <n v="811.73"/>
    <n v="1584.84"/>
    <n v="3.7194044915468079E-2"/>
    <n v="3.9348710990502037E-2"/>
    <n v="27.990689655172414"/>
    <n v="773.1099999999999"/>
    <n v="0.95242260357508024"/>
  </r>
  <r>
    <d v="2025-01-10T00:00:00"/>
    <x v="119"/>
    <x v="14"/>
    <x v="1"/>
    <x v="0"/>
    <x v="2"/>
    <s v="Mobile"/>
    <n v="19293"/>
    <n v="502"/>
    <n v="9"/>
    <n v="694.77"/>
    <n v="791.84"/>
    <n v="2.601979992743482E-2"/>
    <n v="1.7928286852589643E-2"/>
    <n v="77.196666666666658"/>
    <n v="97.07000000000005"/>
    <n v="0.13971530146667249"/>
  </r>
  <r>
    <d v="2025-01-10T00:00:00"/>
    <x v="120"/>
    <x v="13"/>
    <x v="2"/>
    <x v="0"/>
    <x v="3"/>
    <s v="Desktop"/>
    <n v="6210"/>
    <n v="271"/>
    <n v="5"/>
    <n v="1817.78"/>
    <n v="630.53"/>
    <n v="4.363929146537842E-2"/>
    <n v="1.8450184501845018E-2"/>
    <n v="363.55599999999998"/>
    <n v="-1187.25"/>
    <n v="-0.65313184213711228"/>
  </r>
  <r>
    <d v="2025-01-10T00:00:00"/>
    <x v="121"/>
    <x v="0"/>
    <x v="0"/>
    <x v="0"/>
    <x v="3"/>
    <s v="Mobile"/>
    <n v="8090"/>
    <n v="579"/>
    <n v="23"/>
    <n v="1562.16"/>
    <n v="2268.66"/>
    <n v="7.1569839307787389E-2"/>
    <n v="3.9723661485319514E-2"/>
    <n v="67.92"/>
    <n v="706.49999999999977"/>
    <n v="0.45225841143032708"/>
  </r>
  <r>
    <d v="2025-01-10T00:00:00"/>
    <x v="122"/>
    <x v="6"/>
    <x v="3"/>
    <x v="0"/>
    <x v="1"/>
    <s v="Desktop"/>
    <n v="32376"/>
    <n v="292"/>
    <n v="4"/>
    <n v="300.07"/>
    <n v="284.25"/>
    <n v="9.0190264393377809E-3"/>
    <n v="1.3698630136986301E-2"/>
    <n v="75.017499999999998"/>
    <n v="-15.819999999999993"/>
    <n v="-5.2721031759256153E-2"/>
  </r>
  <r>
    <d v="2025-01-11T00:00:00"/>
    <x v="123"/>
    <x v="19"/>
    <x v="4"/>
    <x v="0"/>
    <x v="1"/>
    <s v="Mobile"/>
    <n v="4907"/>
    <n v="579"/>
    <n v="61"/>
    <n v="241.88"/>
    <n v="6388.75"/>
    <n v="0.11799470144691257"/>
    <n v="0.10535405872193437"/>
    <n v="3.965245901639344"/>
    <n v="6146.87"/>
    <n v="25.412890689598147"/>
  </r>
  <r>
    <d v="2025-01-11T00:00:00"/>
    <x v="124"/>
    <x v="2"/>
    <x v="1"/>
    <x v="0"/>
    <x v="2"/>
    <s v="Tablet"/>
    <n v="15209"/>
    <n v="399"/>
    <n v="10"/>
    <n v="402.69"/>
    <n v="673.24"/>
    <n v="2.6234466434348083E-2"/>
    <n v="2.5062656641604009E-2"/>
    <n v="40.268999999999998"/>
    <n v="270.55"/>
    <n v="0.67185676326702926"/>
  </r>
  <r>
    <d v="2025-01-11T00:00:00"/>
    <x v="125"/>
    <x v="0"/>
    <x v="0"/>
    <x v="0"/>
    <x v="0"/>
    <s v="Desktop"/>
    <n v="5897"/>
    <n v="187"/>
    <n v="7"/>
    <n v="429.62"/>
    <n v="456.51"/>
    <n v="3.1711039511616079E-2"/>
    <n v="3.7433155080213901E-2"/>
    <n v="61.374285714285712"/>
    <n v="26.889999999999986"/>
    <n v="6.2590195987151404E-2"/>
  </r>
  <r>
    <d v="2025-01-11T00:00:00"/>
    <x v="126"/>
    <x v="5"/>
    <x v="4"/>
    <x v="0"/>
    <x v="2"/>
    <s v="Desktop"/>
    <n v="1362"/>
    <n v="128"/>
    <n v="23"/>
    <n v="54.09"/>
    <n v="2845.68"/>
    <n v="9.3979441997063137E-2"/>
    <n v="0.1796875"/>
    <n v="2.3517391304347828"/>
    <n v="2791.5899999999997"/>
    <n v="51.610094287298935"/>
  </r>
  <r>
    <d v="2025-01-11T00:00:00"/>
    <x v="127"/>
    <x v="3"/>
    <x v="2"/>
    <x v="2"/>
    <x v="0"/>
    <s v="Mobile"/>
    <n v="5621"/>
    <n v="324"/>
    <n v="10"/>
    <n v="1253.3699999999999"/>
    <n v="1846.48"/>
    <n v="5.764098914783846E-2"/>
    <n v="3.0864197530864196E-2"/>
    <n v="125.33699999999999"/>
    <n v="593.11000000000013"/>
    <n v="0.47321221985527034"/>
  </r>
  <r>
    <d v="2025-01-11T00:00:00"/>
    <x v="128"/>
    <x v="4"/>
    <x v="3"/>
    <x v="0"/>
    <x v="4"/>
    <s v="Mobile"/>
    <n v="33669"/>
    <n v="858"/>
    <n v="7"/>
    <n v="686.72"/>
    <n v="463.4"/>
    <n v="2.5483382339837834E-2"/>
    <n v="8.1585081585081581E-3"/>
    <n v="98.102857142857147"/>
    <n v="-223.32000000000005"/>
    <n v="-0.32519804287045673"/>
  </r>
  <r>
    <d v="2025-01-11T00:00:00"/>
    <x v="129"/>
    <x v="13"/>
    <x v="2"/>
    <x v="0"/>
    <x v="0"/>
    <s v="Desktop"/>
    <n v="2870"/>
    <n v="90"/>
    <n v="2"/>
    <n v="521.67999999999995"/>
    <n v="376.28"/>
    <n v="3.1358885017421602E-2"/>
    <n v="2.2222222222222223E-2"/>
    <n v="260.83999999999997"/>
    <n v="-145.39999999999998"/>
    <n v="-0.27871492102438272"/>
  </r>
  <r>
    <d v="2025-01-11T00:00:00"/>
    <x v="130"/>
    <x v="1"/>
    <x v="0"/>
    <x v="0"/>
    <x v="2"/>
    <s v="Mobile"/>
    <n v="7574"/>
    <n v="496"/>
    <n v="14"/>
    <n v="1192.97"/>
    <n v="1666.04"/>
    <n v="6.5487193028782684E-2"/>
    <n v="2.8225806451612902E-2"/>
    <n v="85.212142857142865"/>
    <n v="473.06999999999994"/>
    <n v="0.39654811101704146"/>
  </r>
  <r>
    <d v="2025-01-11T00:00:00"/>
    <x v="131"/>
    <x v="9"/>
    <x v="4"/>
    <x v="0"/>
    <x v="0"/>
    <s v="Mobile"/>
    <n v="3075"/>
    <n v="354"/>
    <n v="44"/>
    <n v="76.790000000000006"/>
    <n v="5820.11"/>
    <n v="0.1151219512195122"/>
    <n v="0.12429378531073447"/>
    <n v="1.7452272727272728"/>
    <n v="5743.32"/>
    <n v="74.792551113426214"/>
  </r>
  <r>
    <d v="2025-01-11T00:00:00"/>
    <x v="132"/>
    <x v="15"/>
    <x v="1"/>
    <x v="2"/>
    <x v="2"/>
    <s v="Mobile"/>
    <n v="16303"/>
    <n v="429"/>
    <n v="17"/>
    <n v="604.71"/>
    <n v="965.22"/>
    <n v="2.631417530515856E-2"/>
    <n v="3.9627039627039624E-2"/>
    <n v="35.571176470588235"/>
    <n v="360.51"/>
    <n v="0.59617006498982983"/>
  </r>
  <r>
    <d v="2025-01-11T00:00:00"/>
    <x v="133"/>
    <x v="5"/>
    <x v="4"/>
    <x v="0"/>
    <x v="3"/>
    <s v="Mobile"/>
    <n v="2507"/>
    <n v="348"/>
    <n v="37"/>
    <n v="97.49"/>
    <n v="3321.63"/>
    <n v="0.13881132828081372"/>
    <n v="0.10632183908045977"/>
    <n v="2.6348648648648649"/>
    <n v="3224.1400000000003"/>
    <n v="33.071494512257672"/>
  </r>
  <r>
    <d v="2025-01-12T00:00:00"/>
    <x v="134"/>
    <x v="7"/>
    <x v="2"/>
    <x v="0"/>
    <x v="1"/>
    <s v="Tablet"/>
    <n v="3312"/>
    <n v="115"/>
    <n v="3"/>
    <n v="571.61"/>
    <n v="77.87"/>
    <n v="3.4722222222222224E-2"/>
    <n v="2.6086956521739129E-2"/>
    <n v="190.53666666666666"/>
    <n v="-493.74"/>
    <n v="-0.86377075278599047"/>
  </r>
  <r>
    <d v="2025-01-12T00:00:00"/>
    <x v="135"/>
    <x v="6"/>
    <x v="3"/>
    <x v="1"/>
    <x v="0"/>
    <s v="Desktop"/>
    <n v="30388"/>
    <n v="344"/>
    <n v="2"/>
    <n v="310.94"/>
    <n v="159.13999999999999"/>
    <n v="1.1320257996577597E-2"/>
    <n v="5.8139534883720929E-3"/>
    <n v="155.47"/>
    <n v="-151.80000000000001"/>
    <n v="-0.48819707982247385"/>
  </r>
  <r>
    <d v="2025-01-12T00:00:00"/>
    <x v="136"/>
    <x v="15"/>
    <x v="1"/>
    <x v="1"/>
    <x v="3"/>
    <s v="Mobile"/>
    <n v="15197"/>
    <n v="613"/>
    <n v="7"/>
    <n v="1223.8800000000001"/>
    <n v="377.65"/>
    <n v="4.0336908600381652E-2"/>
    <n v="1.1419249592169658E-2"/>
    <n v="174.84"/>
    <n v="-846.23000000000013"/>
    <n v="-0.69143216655227646"/>
  </r>
  <r>
    <d v="2025-01-12T00:00:00"/>
    <x v="137"/>
    <x v="16"/>
    <x v="2"/>
    <x v="0"/>
    <x v="2"/>
    <s v="Mobile"/>
    <n v="4248"/>
    <n v="200"/>
    <n v="4"/>
    <n v="1058.06"/>
    <n v="215.77"/>
    <n v="4.7080979284369114E-2"/>
    <n v="0.02"/>
    <n v="264.51499999999999"/>
    <n v="-842.29"/>
    <n v="-0.79607016615314818"/>
  </r>
  <r>
    <d v="2025-01-12T00:00:00"/>
    <x v="138"/>
    <x v="7"/>
    <x v="2"/>
    <x v="2"/>
    <x v="1"/>
    <s v="Desktop"/>
    <n v="5666"/>
    <n v="196"/>
    <n v="4"/>
    <n v="1583.89"/>
    <n v="764.76"/>
    <n v="3.4592304977056121E-2"/>
    <n v="2.0408163265306121E-2"/>
    <n v="395.97250000000003"/>
    <n v="-819.13000000000011"/>
    <n v="-0.51716343938025999"/>
  </r>
  <r>
    <d v="2025-01-12T00:00:00"/>
    <x v="139"/>
    <x v="4"/>
    <x v="3"/>
    <x v="0"/>
    <x v="3"/>
    <s v="Mobile"/>
    <n v="15023"/>
    <n v="286"/>
    <n v="2"/>
    <n v="437.42"/>
    <n v="97.21"/>
    <n v="1.9037475870332159E-2"/>
    <n v="6.993006993006993E-3"/>
    <n v="218.71"/>
    <n v="-340.21000000000004"/>
    <n v="-0.77776507704265929"/>
  </r>
  <r>
    <d v="2025-01-12T00:00:00"/>
    <x v="140"/>
    <x v="7"/>
    <x v="2"/>
    <x v="2"/>
    <x v="3"/>
    <s v="Desktop"/>
    <n v="3289"/>
    <n v="119"/>
    <n v="2"/>
    <n v="844.73"/>
    <n v="295.41000000000003"/>
    <n v="3.6181210094253576E-2"/>
    <n v="1.680672268907563E-2"/>
    <n v="422.36500000000001"/>
    <n v="-549.31999999999994"/>
    <n v="-0.65029062540693472"/>
  </r>
  <r>
    <d v="2025-01-12T00:00:00"/>
    <x v="141"/>
    <x v="4"/>
    <x v="3"/>
    <x v="0"/>
    <x v="1"/>
    <s v="Mobile"/>
    <n v="19136"/>
    <n v="403"/>
    <n v="3"/>
    <n v="608.65"/>
    <n v="170.09"/>
    <n v="2.1059782608695652E-2"/>
    <n v="7.4441687344913151E-3"/>
    <n v="202.88333333333333"/>
    <n v="-438.55999999999995"/>
    <n v="-0.72054546948163967"/>
  </r>
  <r>
    <d v="2025-01-12T00:00:00"/>
    <x v="142"/>
    <x v="13"/>
    <x v="2"/>
    <x v="0"/>
    <x v="0"/>
    <s v="Desktop"/>
    <n v="6880"/>
    <n v="263"/>
    <n v="3"/>
    <n v="1544.75"/>
    <n v="486.2"/>
    <n v="3.8226744186046512E-2"/>
    <n v="1.1406844106463879E-2"/>
    <n v="514.91666666666663"/>
    <n v="-1058.55"/>
    <n v="-0.68525651399902898"/>
  </r>
  <r>
    <d v="2025-01-12T00:00:00"/>
    <x v="143"/>
    <x v="9"/>
    <x v="4"/>
    <x v="2"/>
    <x v="0"/>
    <s v="Desktop"/>
    <n v="1840"/>
    <n v="292"/>
    <n v="79"/>
    <n v="75.86"/>
    <n v="11514.05"/>
    <n v="0.15869565217391304"/>
    <n v="0.27054794520547948"/>
    <n v="0.96025316455696197"/>
    <n v="11438.189999999999"/>
    <n v="150.78025309781174"/>
  </r>
  <r>
    <d v="2025-01-12T00:00:00"/>
    <x v="144"/>
    <x v="13"/>
    <x v="2"/>
    <x v="0"/>
    <x v="4"/>
    <s v="Desktop"/>
    <n v="2650"/>
    <n v="71"/>
    <n v="1"/>
    <n v="432.99"/>
    <n v="192.39"/>
    <n v="2.679245283018868E-2"/>
    <n v="1.4084507042253521E-2"/>
    <n v="432.99"/>
    <n v="-240.60000000000002"/>
    <n v="-0.55567103166354881"/>
  </r>
  <r>
    <d v="2025-01-12T00:00:00"/>
    <x v="145"/>
    <x v="16"/>
    <x v="2"/>
    <x v="0"/>
    <x v="1"/>
    <s v="Tablet"/>
    <n v="2990"/>
    <n v="93"/>
    <n v="2"/>
    <n v="706.74"/>
    <n v="227.72"/>
    <n v="3.1103678929765885E-2"/>
    <n v="2.1505376344086023E-2"/>
    <n v="353.37"/>
    <n v="-479.02"/>
    <n v="-0.67778815405948434"/>
  </r>
  <r>
    <d v="2025-01-12T00:00:00"/>
    <x v="146"/>
    <x v="12"/>
    <x v="0"/>
    <x v="2"/>
    <x v="1"/>
    <s v="Desktop"/>
    <n v="8147"/>
    <n v="315"/>
    <n v="23"/>
    <n v="708.13"/>
    <n v="2879.66"/>
    <n v="3.8664539094145085E-2"/>
    <n v="7.301587301587302E-2"/>
    <n v="30.788260869565217"/>
    <n v="2171.5299999999997"/>
    <n v="3.0665696976543853"/>
  </r>
  <r>
    <d v="2025-01-13T00:00:00"/>
    <x v="147"/>
    <x v="2"/>
    <x v="1"/>
    <x v="2"/>
    <x v="0"/>
    <s v="Mobile"/>
    <n v="13457"/>
    <n v="378"/>
    <n v="10"/>
    <n v="596.86"/>
    <n v="986.48"/>
    <n v="2.8089470164226797E-2"/>
    <n v="2.6455026455026454E-2"/>
    <n v="59.686"/>
    <n v="389.62"/>
    <n v="0.65278289716181348"/>
  </r>
  <r>
    <d v="2025-01-13T00:00:00"/>
    <x v="148"/>
    <x v="4"/>
    <x v="3"/>
    <x v="0"/>
    <x v="0"/>
    <s v="Desktop"/>
    <n v="39575"/>
    <n v="724"/>
    <n v="16"/>
    <n v="901.62"/>
    <n v="1179.07"/>
    <n v="1.8294377763739735E-2"/>
    <n v="2.2099447513812154E-2"/>
    <n v="56.35125"/>
    <n v="277.44999999999993"/>
    <n v="0.30772387480313207"/>
  </r>
  <r>
    <d v="2025-01-13T00:00:00"/>
    <x v="149"/>
    <x v="0"/>
    <x v="0"/>
    <x v="2"/>
    <x v="3"/>
    <s v="Mobile"/>
    <n v="9943"/>
    <n v="483"/>
    <n v="31"/>
    <n v="1441.85"/>
    <n v="3827.09"/>
    <n v="4.8576888263099666E-2"/>
    <n v="6.4182194616977231E-2"/>
    <n v="46.511290322580642"/>
    <n v="2385.2400000000002"/>
    <n v="1.6542913617921422"/>
  </r>
  <r>
    <d v="2025-01-13T00:00:00"/>
    <x v="150"/>
    <x v="13"/>
    <x v="2"/>
    <x v="0"/>
    <x v="0"/>
    <s v="Mobile"/>
    <n v="5551"/>
    <n v="231"/>
    <n v="2"/>
    <n v="1068.03"/>
    <n v="224.12"/>
    <n v="4.1614123581336697E-2"/>
    <n v="8.658008658008658E-3"/>
    <n v="534.01499999999999"/>
    <n v="-843.91"/>
    <n v="-0.79015570723668804"/>
  </r>
  <r>
    <d v="2025-01-13T00:00:00"/>
    <x v="151"/>
    <x v="11"/>
    <x v="1"/>
    <x v="2"/>
    <x v="4"/>
    <s v="Desktop"/>
    <n v="17893"/>
    <n v="778"/>
    <n v="44"/>
    <n v="1377.81"/>
    <n v="4734.3999999999996"/>
    <n v="4.348069077292796E-2"/>
    <n v="5.6555269922879174E-2"/>
    <n v="31.313863636363635"/>
    <n v="3356.5899999999997"/>
    <n v="2.4361777022956721"/>
  </r>
  <r>
    <d v="2025-01-13T00:00:00"/>
    <x v="152"/>
    <x v="18"/>
    <x v="4"/>
    <x v="0"/>
    <x v="0"/>
    <s v="Mobile"/>
    <n v="2605"/>
    <n v="342"/>
    <n v="27"/>
    <n v="118.56"/>
    <n v="2781.95"/>
    <n v="0.13128598848368522"/>
    <n v="7.8947368421052627E-2"/>
    <n v="4.391111111111111"/>
    <n v="2663.39"/>
    <n v="22.464490553306341"/>
  </r>
  <r>
    <d v="2025-01-13T00:00:00"/>
    <x v="153"/>
    <x v="17"/>
    <x v="0"/>
    <x v="0"/>
    <x v="1"/>
    <s v="Mobile"/>
    <n v="12469"/>
    <n v="512"/>
    <n v="15"/>
    <n v="1451.49"/>
    <n v="1689.71"/>
    <n v="4.1061833346699814E-2"/>
    <n v="2.9296875E-2"/>
    <n v="96.766000000000005"/>
    <n v="238.22000000000003"/>
    <n v="0.16412100668967752"/>
  </r>
  <r>
    <d v="2025-01-14T00:00:00"/>
    <x v="154"/>
    <x v="19"/>
    <x v="4"/>
    <x v="0"/>
    <x v="4"/>
    <s v="Desktop"/>
    <n v="1442"/>
    <n v="173"/>
    <n v="25"/>
    <n v="72.39"/>
    <n v="2108.71"/>
    <n v="0.11997226074895978"/>
    <n v="0.14450867052023122"/>
    <n v="2.8956"/>
    <n v="2036.32"/>
    <n v="28.12985218952894"/>
  </r>
  <r>
    <d v="2025-01-14T00:00:00"/>
    <x v="155"/>
    <x v="3"/>
    <x v="2"/>
    <x v="2"/>
    <x v="4"/>
    <s v="Mobile"/>
    <n v="4969"/>
    <n v="149"/>
    <n v="4"/>
    <n v="826.48"/>
    <n v="836.55"/>
    <n v="2.9985912658482591E-2"/>
    <n v="2.6845637583892617E-2"/>
    <n v="206.62"/>
    <n v="10.069999999999936"/>
    <n v="1.2184202884522235E-2"/>
  </r>
  <r>
    <d v="2025-01-14T00:00:00"/>
    <x v="156"/>
    <x v="5"/>
    <x v="4"/>
    <x v="2"/>
    <x v="0"/>
    <s v="Desktop"/>
    <n v="3248"/>
    <n v="351"/>
    <n v="50"/>
    <n v="93.1"/>
    <n v="5134.8999999999996"/>
    <n v="0.10806650246305419"/>
    <n v="0.14245014245014245"/>
    <n v="1.8619999999999999"/>
    <n v="5041.7999999999993"/>
    <n v="54.154672395273892"/>
  </r>
  <r>
    <d v="2025-01-14T00:00:00"/>
    <x v="157"/>
    <x v="11"/>
    <x v="1"/>
    <x v="2"/>
    <x v="3"/>
    <s v="Mobile"/>
    <n v="14231"/>
    <n v="477"/>
    <n v="17"/>
    <n v="820.47"/>
    <n v="1351.53"/>
    <n v="3.3518375377696578E-2"/>
    <n v="3.5639412997903561E-2"/>
    <n v="48.262941176470591"/>
    <n v="531.05999999999995"/>
    <n v="0.64726315404585166"/>
  </r>
  <r>
    <d v="2025-01-14T00:00:00"/>
    <x v="158"/>
    <x v="2"/>
    <x v="1"/>
    <x v="0"/>
    <x v="4"/>
    <s v="Desktop"/>
    <n v="9963"/>
    <n v="260"/>
    <n v="7"/>
    <n v="267.64999999999998"/>
    <n v="704.44"/>
    <n v="2.6096557261868915E-2"/>
    <n v="2.6923076923076925E-2"/>
    <n v="38.23571428571428"/>
    <n v="436.79000000000008"/>
    <n v="1.6319447039043531"/>
  </r>
  <r>
    <d v="2025-01-14T00:00:00"/>
    <x v="159"/>
    <x v="17"/>
    <x v="0"/>
    <x v="2"/>
    <x v="1"/>
    <s v="Mobile"/>
    <n v="5016"/>
    <n v="191"/>
    <n v="6"/>
    <n v="443.81"/>
    <n v="503.91"/>
    <n v="3.8078149920255183E-2"/>
    <n v="3.1413612565445025E-2"/>
    <n v="73.968333333333334"/>
    <n v="60.100000000000023"/>
    <n v="0.13541830963700688"/>
  </r>
  <r>
    <d v="2025-01-14T00:00:00"/>
    <x v="160"/>
    <x v="8"/>
    <x v="3"/>
    <x v="0"/>
    <x v="1"/>
    <s v="Desktop"/>
    <n v="30545"/>
    <n v="661"/>
    <n v="9"/>
    <n v="819.3"/>
    <n v="493.61"/>
    <n v="2.1640202979211001E-2"/>
    <n v="1.3615733736762481E-2"/>
    <n v="91.033333333333331"/>
    <n v="-325.68999999999994"/>
    <n v="-0.39752227511290122"/>
  </r>
  <r>
    <d v="2025-01-14T00:00:00"/>
    <x v="161"/>
    <x v="5"/>
    <x v="4"/>
    <x v="0"/>
    <x v="3"/>
    <s v="Mobile"/>
    <n v="1284"/>
    <n v="124"/>
    <n v="11"/>
    <n v="28.19"/>
    <n v="1313.28"/>
    <n v="9.657320872274143E-2"/>
    <n v="8.8709677419354843E-2"/>
    <n v="2.562727272727273"/>
    <n v="1285.0899999999999"/>
    <n v="45.586732884001414"/>
  </r>
  <r>
    <d v="2025-01-14T00:00:00"/>
    <x v="162"/>
    <x v="19"/>
    <x v="4"/>
    <x v="1"/>
    <x v="2"/>
    <s v="Mobile"/>
    <n v="1922"/>
    <n v="262"/>
    <n v="24"/>
    <n v="128.29"/>
    <n v="2181.42"/>
    <n v="0.13631633714880334"/>
    <n v="9.1603053435114504E-2"/>
    <n v="5.345416666666666"/>
    <n v="2053.13"/>
    <n v="16.003819471509864"/>
  </r>
  <r>
    <d v="2025-01-15T00:00:00"/>
    <x v="163"/>
    <x v="13"/>
    <x v="2"/>
    <x v="1"/>
    <x v="2"/>
    <s v="Desktop"/>
    <n v="6934"/>
    <n v="138"/>
    <n v="1"/>
    <n v="767.23"/>
    <n v="132.11000000000001"/>
    <n v="1.9901932506489761E-2"/>
    <n v="7.246376811594203E-3"/>
    <n v="767.23"/>
    <n v="-635.12"/>
    <n v="-0.82780913155116453"/>
  </r>
  <r>
    <d v="2025-01-15T00:00:00"/>
    <x v="164"/>
    <x v="4"/>
    <x v="3"/>
    <x v="2"/>
    <x v="4"/>
    <s v="Desktop"/>
    <n v="32065"/>
    <n v="326"/>
    <n v="7"/>
    <n v="420.27"/>
    <n v="590.41"/>
    <n v="1.0166848588803993E-2"/>
    <n v="2.1472392638036811E-2"/>
    <n v="60.038571428571423"/>
    <n v="170.14"/>
    <n v="0.40483498703214599"/>
  </r>
  <r>
    <d v="2025-01-15T00:00:00"/>
    <x v="165"/>
    <x v="5"/>
    <x v="4"/>
    <x v="1"/>
    <x v="0"/>
    <s v="Mobile"/>
    <n v="3045"/>
    <n v="339"/>
    <n v="24"/>
    <n v="93.87"/>
    <n v="2651.85"/>
    <n v="0.11133004926108374"/>
    <n v="7.0796460176991149E-2"/>
    <n v="3.9112500000000003"/>
    <n v="2557.98"/>
    <n v="27.250239693192711"/>
  </r>
  <r>
    <d v="2025-01-15T00:00:00"/>
    <x v="166"/>
    <x v="4"/>
    <x v="3"/>
    <x v="1"/>
    <x v="4"/>
    <s v="Mobile"/>
    <n v="24634"/>
    <n v="392"/>
    <n v="4"/>
    <n v="459.33"/>
    <n v="28.24"/>
    <n v="1.5912965819598928E-2"/>
    <n v="1.020408163265306E-2"/>
    <n v="114.8325"/>
    <n v="-431.09"/>
    <n v="-0.93851914745390019"/>
  </r>
  <r>
    <d v="2025-01-15T00:00:00"/>
    <x v="167"/>
    <x v="19"/>
    <x v="4"/>
    <x v="2"/>
    <x v="4"/>
    <s v="Mobile"/>
    <n v="4504"/>
    <n v="544"/>
    <n v="77"/>
    <n v="206.37"/>
    <n v="9574.9599999999991"/>
    <n v="0.12078152753108348"/>
    <n v="0.14154411764705882"/>
    <n v="2.6801298701298704"/>
    <n v="9368.5899999999983"/>
    <n v="45.397053835344273"/>
  </r>
  <r>
    <d v="2025-01-15T00:00:00"/>
    <x v="168"/>
    <x v="18"/>
    <x v="4"/>
    <x v="0"/>
    <x v="1"/>
    <s v="Mobile"/>
    <n v="3555"/>
    <n v="386"/>
    <n v="39"/>
    <n v="135.63"/>
    <n v="5746.3"/>
    <n v="0.10857946554149085"/>
    <n v="0.10103626943005181"/>
    <n v="3.4776923076923074"/>
    <n v="5610.67"/>
    <n v="41.367470323674702"/>
  </r>
  <r>
    <d v="2025-01-15T00:00:00"/>
    <x v="169"/>
    <x v="16"/>
    <x v="2"/>
    <x v="2"/>
    <x v="4"/>
    <s v="Tablet"/>
    <n v="2415"/>
    <n v="103"/>
    <n v="3"/>
    <n v="710.66"/>
    <n v="401.22"/>
    <n v="4.265010351966874E-2"/>
    <n v="2.9126213592233011E-2"/>
    <n v="236.88666666666666"/>
    <n v="-309.43999999999994"/>
    <n v="-0.43542622351053945"/>
  </r>
  <r>
    <d v="2025-01-15T00:00:00"/>
    <x v="170"/>
    <x v="13"/>
    <x v="2"/>
    <x v="0"/>
    <x v="3"/>
    <s v="Desktop"/>
    <n v="2849"/>
    <n v="120"/>
    <n v="3"/>
    <n v="834.91"/>
    <n v="527.95000000000005"/>
    <n v="4.2120042120042119E-2"/>
    <n v="2.5000000000000001E-2"/>
    <n v="278.30333333333334"/>
    <n v="-306.95999999999992"/>
    <n v="-0.36765639410235829"/>
  </r>
  <r>
    <d v="2025-01-15T00:00:00"/>
    <x v="171"/>
    <x v="10"/>
    <x v="3"/>
    <x v="0"/>
    <x v="0"/>
    <s v="Mobile"/>
    <n v="19768"/>
    <n v="501"/>
    <n v="4"/>
    <n v="0"/>
    <n v="216.44"/>
    <n v="2.5343990287333064E-2"/>
    <n v="7.9840319361277438E-3"/>
    <n v="0"/>
    <n v="216.44"/>
    <n v="0"/>
  </r>
  <r>
    <d v="2025-01-15T00:00:00"/>
    <x v="172"/>
    <x v="15"/>
    <x v="1"/>
    <x v="0"/>
    <x v="0"/>
    <s v="Mobile"/>
    <n v="17492"/>
    <n v="549"/>
    <n v="12"/>
    <n v="657.42"/>
    <n v="1147.28"/>
    <n v="3.1385776354905102E-2"/>
    <n v="2.185792349726776E-2"/>
    <n v="54.784999999999997"/>
    <n v="489.86"/>
    <n v="0.74512488211493422"/>
  </r>
  <r>
    <d v="2025-01-15T00:00:00"/>
    <x v="173"/>
    <x v="12"/>
    <x v="0"/>
    <x v="0"/>
    <x v="0"/>
    <s v="Desktop"/>
    <n v="13011"/>
    <n v="368"/>
    <n v="16"/>
    <n v="835.75"/>
    <n v="1034.02"/>
    <n v="2.8283759895473062E-2"/>
    <n v="4.3478260869565216E-2"/>
    <n v="52.234375"/>
    <n v="198.26999999999998"/>
    <n v="0.23723601555489079"/>
  </r>
  <r>
    <d v="2025-01-15T00:00:00"/>
    <x v="174"/>
    <x v="0"/>
    <x v="0"/>
    <x v="0"/>
    <x v="0"/>
    <s v="Mobile"/>
    <n v="11749"/>
    <n v="810"/>
    <n v="28"/>
    <n v="2023.76"/>
    <n v="2592.0300000000002"/>
    <n v="6.8942037620222996E-2"/>
    <n v="3.4567901234567898E-2"/>
    <n v="72.277142857142863"/>
    <n v="568.27000000000021"/>
    <n v="0.28079910661343255"/>
  </r>
  <r>
    <d v="2025-01-16T00:00:00"/>
    <x v="175"/>
    <x v="8"/>
    <x v="3"/>
    <x v="0"/>
    <x v="4"/>
    <s v="Desktop"/>
    <n v="20157"/>
    <n v="157"/>
    <n v="2"/>
    <n v="188.76"/>
    <n v="154.34"/>
    <n v="7.7888574688693753E-3"/>
    <n v="1.2738853503184714E-2"/>
    <n v="94.38"/>
    <n v="-34.419999999999987"/>
    <n v="-0.18234795507522775"/>
  </r>
  <r>
    <d v="2025-01-16T00:00:00"/>
    <x v="176"/>
    <x v="2"/>
    <x v="1"/>
    <x v="0"/>
    <x v="4"/>
    <s v="Desktop"/>
    <n v="11736"/>
    <n v="431"/>
    <n v="13"/>
    <n v="603.08000000000004"/>
    <n v="939.75"/>
    <n v="3.6724608043626449E-2"/>
    <n v="3.0162412993039442E-2"/>
    <n v="46.390769230769237"/>
    <n v="336.66999999999996"/>
    <n v="0.55825097831133508"/>
  </r>
  <r>
    <d v="2025-01-16T00:00:00"/>
    <x v="177"/>
    <x v="18"/>
    <x v="4"/>
    <x v="1"/>
    <x v="4"/>
    <s v="Mobile"/>
    <n v="2871"/>
    <n v="244"/>
    <n v="15"/>
    <n v="61.49"/>
    <n v="1979.96"/>
    <n v="8.4987809125740166E-2"/>
    <n v="6.1475409836065573E-2"/>
    <n v="4.0993333333333331"/>
    <n v="1918.47"/>
    <n v="31.199707269474711"/>
  </r>
  <r>
    <d v="2025-01-16T00:00:00"/>
    <x v="178"/>
    <x v="4"/>
    <x v="3"/>
    <x v="0"/>
    <x v="2"/>
    <s v="Desktop"/>
    <n v="15826"/>
    <n v="235"/>
    <n v="3"/>
    <n v="263.49"/>
    <n v="156.43"/>
    <n v="1.4848982686718059E-2"/>
    <n v="1.276595744680851E-2"/>
    <n v="87.83"/>
    <n v="-107.06"/>
    <n v="-0.40631523017951343"/>
  </r>
  <r>
    <d v="2025-01-16T00:00:00"/>
    <x v="179"/>
    <x v="18"/>
    <x v="4"/>
    <x v="0"/>
    <x v="3"/>
    <s v="Desktop"/>
    <n v="4204"/>
    <n v="494"/>
    <n v="81"/>
    <n v="144.53"/>
    <n v="10317.02"/>
    <n v="0.11750713606089438"/>
    <n v="0.16396761133603238"/>
    <n v="1.7843209876543209"/>
    <n v="10172.49"/>
    <n v="70.383242233446339"/>
  </r>
  <r>
    <d v="2025-01-16T00:00:00"/>
    <x v="180"/>
    <x v="3"/>
    <x v="2"/>
    <x v="2"/>
    <x v="3"/>
    <s v="Mobile"/>
    <n v="4456"/>
    <n v="258"/>
    <n v="9"/>
    <n v="1261.8599999999999"/>
    <n v="1449.48"/>
    <n v="5.7899461400359065E-2"/>
    <n v="3.4883720930232558E-2"/>
    <n v="140.20666666666665"/>
    <n v="187.62000000000012"/>
    <n v="0.14868527411915755"/>
  </r>
  <r>
    <d v="2025-01-16T00:00:00"/>
    <x v="181"/>
    <x v="2"/>
    <x v="1"/>
    <x v="1"/>
    <x v="3"/>
    <s v="Desktop"/>
    <n v="19186"/>
    <n v="444"/>
    <n v="8"/>
    <n v="735.6"/>
    <n v="678.29"/>
    <n v="2.3141874283331598E-2"/>
    <n v="1.8018018018018018E-2"/>
    <n v="91.95"/>
    <n v="-57.310000000000059"/>
    <n v="-7.7909189777052829E-2"/>
  </r>
  <r>
    <d v="2025-01-16T00:00:00"/>
    <x v="182"/>
    <x v="7"/>
    <x v="2"/>
    <x v="2"/>
    <x v="0"/>
    <s v="Mobile"/>
    <n v="6515"/>
    <n v="372"/>
    <n v="4"/>
    <n v="1540.83"/>
    <n v="470.45"/>
    <n v="5.7099002302379125E-2"/>
    <n v="1.0752688172043012E-2"/>
    <n v="385.20749999999998"/>
    <n v="-1070.3799999999999"/>
    <n v="-0.69467754392113334"/>
  </r>
  <r>
    <d v="2025-01-16T00:00:00"/>
    <x v="183"/>
    <x v="7"/>
    <x v="2"/>
    <x v="2"/>
    <x v="3"/>
    <s v="Mobile"/>
    <n v="2571"/>
    <n v="137"/>
    <n v="3"/>
    <n v="964.02"/>
    <n v="439.79"/>
    <n v="5.3286658887592375E-2"/>
    <n v="2.1897810218978103E-2"/>
    <n v="321.33999999999997"/>
    <n v="-524.23"/>
    <n v="-0.54379577187195294"/>
  </r>
  <r>
    <d v="2025-01-16T00:00:00"/>
    <x v="184"/>
    <x v="8"/>
    <x v="3"/>
    <x v="0"/>
    <x v="0"/>
    <s v="Mobile"/>
    <n v="34893"/>
    <n v="637"/>
    <n v="5"/>
    <n v="685.09"/>
    <n v="251.04"/>
    <n v="1.8255810621041469E-2"/>
    <n v="7.8492935635792772E-3"/>
    <n v="137.018"/>
    <n v="-434.05000000000007"/>
    <n v="-0.63356639273672077"/>
  </r>
  <r>
    <d v="2025-01-16T00:00:00"/>
    <x v="185"/>
    <x v="1"/>
    <x v="0"/>
    <x v="0"/>
    <x v="0"/>
    <s v="Desktop"/>
    <n v="10055"/>
    <n v="461"/>
    <n v="21"/>
    <n v="874.15"/>
    <n v="1491.32"/>
    <n v="4.584783689706614E-2"/>
    <n v="4.5553145336225599E-2"/>
    <n v="41.626190476190473"/>
    <n v="617.16999999999996"/>
    <n v="0.70602299376537203"/>
  </r>
  <r>
    <d v="2025-01-16T00:00:00"/>
    <x v="186"/>
    <x v="0"/>
    <x v="0"/>
    <x v="0"/>
    <x v="3"/>
    <s v="Mobile"/>
    <n v="8914"/>
    <n v="549"/>
    <n v="14"/>
    <n v="943.85"/>
    <n v="1205.07"/>
    <n v="6.1588512452322192E-2"/>
    <n v="2.5500910746812388E-2"/>
    <n v="67.417857142857144"/>
    <n v="261.21999999999991"/>
    <n v="0.27676007840228839"/>
  </r>
  <r>
    <d v="2025-01-16T00:00:00"/>
    <x v="187"/>
    <x v="17"/>
    <x v="0"/>
    <x v="0"/>
    <x v="2"/>
    <s v="Desktop"/>
    <n v="10893"/>
    <n v="449"/>
    <n v="19"/>
    <n v="1318.29"/>
    <n v="1616.31"/>
    <n v="4.1219131552373084E-2"/>
    <n v="4.2316258351893093E-2"/>
    <n v="69.383684210526312"/>
    <n v="298.02"/>
    <n v="0.22606558496233756"/>
  </r>
  <r>
    <d v="2025-01-16T00:00:00"/>
    <x v="188"/>
    <x v="12"/>
    <x v="0"/>
    <x v="0"/>
    <x v="3"/>
    <s v="Mobile"/>
    <n v="8417"/>
    <n v="339"/>
    <n v="9"/>
    <n v="827.27"/>
    <n v="602.99"/>
    <n v="4.0275632648211955E-2"/>
    <n v="2.6548672566371681E-2"/>
    <n v="91.918888888888887"/>
    <n v="-224.27999999999997"/>
    <n v="-0.27110858607226174"/>
  </r>
  <r>
    <d v="2025-01-17T00:00:00"/>
    <x v="189"/>
    <x v="16"/>
    <x v="2"/>
    <x v="0"/>
    <x v="1"/>
    <s v="Mobile"/>
    <n v="6259"/>
    <n v="198"/>
    <n v="4"/>
    <n v="826.05"/>
    <n v="184.45"/>
    <n v="3.163444639718805E-2"/>
    <n v="2.0202020202020204E-2"/>
    <n v="206.51249999999999"/>
    <n v="-641.59999999999991"/>
    <n v="-0.77670843169299675"/>
  </r>
  <r>
    <d v="2025-01-17T00:00:00"/>
    <x v="190"/>
    <x v="18"/>
    <x v="4"/>
    <x v="2"/>
    <x v="3"/>
    <s v="Desktop"/>
    <n v="2405"/>
    <n v="294"/>
    <n v="57"/>
    <n v="94.13"/>
    <n v="8642.36"/>
    <n v="0.12224532224532225"/>
    <n v="0.19387755102040816"/>
    <n v="1.6514035087719297"/>
    <n v="8548.2300000000014"/>
    <n v="90.813024540529071"/>
  </r>
  <r>
    <d v="2025-01-17T00:00:00"/>
    <x v="191"/>
    <x v="10"/>
    <x v="3"/>
    <x v="1"/>
    <x v="0"/>
    <s v="Mobile"/>
    <n v="21820"/>
    <n v="298"/>
    <n v="0"/>
    <n v="273.25"/>
    <n v="0"/>
    <n v="1.3657195233730523E-2"/>
    <n v="0"/>
    <n v="0"/>
    <n v="-273.25"/>
    <n v="-1"/>
  </r>
  <r>
    <d v="2025-01-17T00:00:00"/>
    <x v="192"/>
    <x v="2"/>
    <x v="1"/>
    <x v="1"/>
    <x v="2"/>
    <s v="Desktop"/>
    <n v="13899"/>
    <n v="397"/>
    <n v="4"/>
    <n v="570.86"/>
    <n v="322.05"/>
    <n v="2.8563205986042162E-2"/>
    <n v="1.0075566750629723E-2"/>
    <n v="142.715"/>
    <n v="-248.81"/>
    <n v="-0.43585117191605649"/>
  </r>
  <r>
    <d v="2025-01-17T00:00:00"/>
    <x v="193"/>
    <x v="1"/>
    <x v="0"/>
    <x v="0"/>
    <x v="4"/>
    <s v="Mobile"/>
    <n v="10936"/>
    <n v="458"/>
    <n v="18"/>
    <n v="1154.45"/>
    <n v="1159.5899999999999"/>
    <n v="4.1880029261155818E-2"/>
    <n v="3.9301310043668124E-2"/>
    <n v="64.13611111111112"/>
    <n v="5.1399999999998727"/>
    <n v="4.4523366105070575E-3"/>
  </r>
  <r>
    <d v="2025-01-17T00:00:00"/>
    <x v="194"/>
    <x v="18"/>
    <x v="4"/>
    <x v="0"/>
    <x v="2"/>
    <s v="Mobile"/>
    <n v="2976"/>
    <n v="347"/>
    <n v="26"/>
    <n v="85.42"/>
    <n v="3763.72"/>
    <n v="0.11659946236559139"/>
    <n v="7.492795389048991E-2"/>
    <n v="3.2853846153846153"/>
    <n v="3678.2999999999997"/>
    <n v="43.061343947553262"/>
  </r>
  <r>
    <d v="2025-01-17T00:00:00"/>
    <x v="195"/>
    <x v="6"/>
    <x v="3"/>
    <x v="0"/>
    <x v="2"/>
    <s v="Desktop"/>
    <n v="17802"/>
    <n v="246"/>
    <n v="4"/>
    <n v="360.97"/>
    <n v="186.01"/>
    <n v="1.3818672059319177E-2"/>
    <n v="1.6260162601626018E-2"/>
    <n v="90.242500000000007"/>
    <n v="-174.96000000000004"/>
    <n v="-0.48469401889353692"/>
  </r>
  <r>
    <d v="2025-01-17T00:00:00"/>
    <x v="196"/>
    <x v="15"/>
    <x v="1"/>
    <x v="1"/>
    <x v="4"/>
    <s v="Mobile"/>
    <n v="14894"/>
    <n v="435"/>
    <n v="4"/>
    <n v="764.55"/>
    <n v="294.13"/>
    <n v="2.9206391835638511E-2"/>
    <n v="9.1954022988505746E-3"/>
    <n v="191.13749999999999"/>
    <n v="-470.41999999999996"/>
    <n v="-0.61529003989274733"/>
  </r>
  <r>
    <d v="2025-01-17T00:00:00"/>
    <x v="197"/>
    <x v="4"/>
    <x v="3"/>
    <x v="0"/>
    <x v="2"/>
    <s v="Mobile"/>
    <n v="21131"/>
    <n v="646"/>
    <n v="7"/>
    <n v="741.71"/>
    <n v="349.55"/>
    <n v="3.0571198712791632E-2"/>
    <n v="1.0835913312693499E-2"/>
    <n v="105.95857142857143"/>
    <n v="-392.16"/>
    <n v="-0.52872416443084225"/>
  </r>
  <r>
    <d v="2025-01-17T00:00:00"/>
    <x v="198"/>
    <x v="10"/>
    <x v="3"/>
    <x v="1"/>
    <x v="0"/>
    <s v="Mobile"/>
    <n v="19115"/>
    <n v="128"/>
    <n v="1"/>
    <n v="161"/>
    <n v="71.849999999999994"/>
    <n v="6.6963117970180487E-3"/>
    <n v="7.8125E-3"/>
    <n v="161"/>
    <n v="-89.15"/>
    <n v="-0.55372670807453417"/>
  </r>
  <r>
    <d v="2025-01-17T00:00:00"/>
    <x v="199"/>
    <x v="14"/>
    <x v="1"/>
    <x v="1"/>
    <x v="1"/>
    <s v="Desktop"/>
    <n v="13385"/>
    <n v="301"/>
    <n v="6"/>
    <n v="373.24"/>
    <n v="365.32"/>
    <n v="2.2487859544265968E-2"/>
    <n v="1.9933554817275746E-2"/>
    <n v="62.206666666666671"/>
    <n v="-7.9200000000000159"/>
    <n v="-2.1219590611938743E-2"/>
  </r>
  <r>
    <d v="2025-01-17T00:00:00"/>
    <x v="200"/>
    <x v="12"/>
    <x v="0"/>
    <x v="2"/>
    <x v="4"/>
    <s v="Mobile"/>
    <n v="13503"/>
    <n v="1041"/>
    <n v="35"/>
    <n v="1997.24"/>
    <n v="2773.2"/>
    <n v="7.7093979115752054E-2"/>
    <n v="3.3621517771373677E-2"/>
    <n v="57.064"/>
    <n v="775.95999999999981"/>
    <n v="0.38851615229016034"/>
  </r>
  <r>
    <d v="2025-01-18T00:00:00"/>
    <x v="201"/>
    <x v="1"/>
    <x v="0"/>
    <x v="0"/>
    <x v="4"/>
    <s v="Mobile"/>
    <n v="12498"/>
    <n v="767"/>
    <n v="20"/>
    <n v="1964.46"/>
    <n v="1932.03"/>
    <n v="6.1369819171067368E-2"/>
    <n v="2.607561929595828E-2"/>
    <n v="98.222999999999999"/>
    <n v="-32.430000000000064"/>
    <n v="-1.6508353440640208E-2"/>
  </r>
  <r>
    <d v="2025-01-18T00:00:00"/>
    <x v="202"/>
    <x v="8"/>
    <x v="3"/>
    <x v="0"/>
    <x v="4"/>
    <s v="Mobile"/>
    <n v="35617"/>
    <n v="620"/>
    <n v="9"/>
    <n v="570"/>
    <n v="415.3"/>
    <n v="1.7407417806103827E-2"/>
    <n v="1.4516129032258065E-2"/>
    <n v="63.333333333333336"/>
    <n v="-154.69999999999999"/>
    <n v="-0.27140350877192981"/>
  </r>
  <r>
    <d v="2025-01-18T00:00:00"/>
    <x v="203"/>
    <x v="12"/>
    <x v="0"/>
    <x v="0"/>
    <x v="2"/>
    <s v="Mobile"/>
    <n v="7920"/>
    <n v="424"/>
    <n v="13"/>
    <n v="775.15"/>
    <n v="1438"/>
    <n v="5.3535353535353533E-2"/>
    <n v="3.0660377358490566E-2"/>
    <n v="59.626923076923077"/>
    <n v="662.85"/>
    <n v="0.85512481455202227"/>
  </r>
  <r>
    <d v="2025-01-18T00:00:00"/>
    <x v="204"/>
    <x v="19"/>
    <x v="4"/>
    <x v="2"/>
    <x v="4"/>
    <s v="Tablet"/>
    <n v="3616"/>
    <n v="536"/>
    <n v="132"/>
    <n v="139.78"/>
    <n v="12053.44"/>
    <n v="0.14823008849557523"/>
    <n v="0.2462686567164179"/>
    <n v="1.0589393939393938"/>
    <n v="11913.66"/>
    <n v="85.231506653312351"/>
  </r>
  <r>
    <d v="2025-01-18T00:00:00"/>
    <x v="205"/>
    <x v="16"/>
    <x v="2"/>
    <x v="2"/>
    <x v="1"/>
    <s v="Desktop"/>
    <n v="2421"/>
    <n v="48"/>
    <n v="1"/>
    <n v="280.14"/>
    <n v="159.29"/>
    <n v="1.9826517967781909E-2"/>
    <n v="2.0833333333333332E-2"/>
    <n v="280.14"/>
    <n v="-120.85"/>
    <n v="-0.43139144713357608"/>
  </r>
  <r>
    <d v="2025-01-18T00:00:00"/>
    <x v="206"/>
    <x v="5"/>
    <x v="4"/>
    <x v="2"/>
    <x v="4"/>
    <s v="Mobile"/>
    <n v="4148"/>
    <n v="551"/>
    <n v="78"/>
    <n v="190.78"/>
    <n v="7885.23"/>
    <n v="0.13283510125361619"/>
    <n v="0.14156079854809436"/>
    <n v="2.4458974358974359"/>
    <n v="7694.45"/>
    <n v="40.331533703742529"/>
  </r>
  <r>
    <d v="2025-01-18T00:00:00"/>
    <x v="207"/>
    <x v="15"/>
    <x v="1"/>
    <x v="0"/>
    <x v="1"/>
    <s v="Desktop"/>
    <n v="14343"/>
    <n v="555"/>
    <n v="19"/>
    <n v="577.94000000000005"/>
    <n v="1524.47"/>
    <n v="3.8694833716795649E-2"/>
    <n v="3.4234234234234232E-2"/>
    <n v="30.417894736842108"/>
    <n v="946.53"/>
    <n v="1.6377651659341799"/>
  </r>
  <r>
    <d v="2025-01-18T00:00:00"/>
    <x v="208"/>
    <x v="2"/>
    <x v="1"/>
    <x v="2"/>
    <x v="3"/>
    <s v="Mobile"/>
    <n v="13790"/>
    <n v="634"/>
    <n v="23"/>
    <n v="715.87"/>
    <n v="2333.0300000000002"/>
    <n v="4.5975344452501815E-2"/>
    <n v="3.6277602523659309E-2"/>
    <n v="31.124782608695654"/>
    <n v="1617.1600000000003"/>
    <n v="2.2590135080391693"/>
  </r>
  <r>
    <d v="2025-01-18T00:00:00"/>
    <x v="209"/>
    <x v="0"/>
    <x v="0"/>
    <x v="2"/>
    <x v="2"/>
    <s v="Mobile"/>
    <n v="10550"/>
    <n v="506"/>
    <n v="25"/>
    <n v="1137.77"/>
    <n v="2688.05"/>
    <n v="4.7962085308056873E-2"/>
    <n v="4.9407114624505928E-2"/>
    <n v="45.510799999999996"/>
    <n v="1550.2800000000002"/>
    <n v="1.3625600956256538"/>
  </r>
  <r>
    <d v="2025-01-18T00:00:00"/>
    <x v="210"/>
    <x v="15"/>
    <x v="1"/>
    <x v="0"/>
    <x v="0"/>
    <s v="Tablet"/>
    <n v="9805"/>
    <n v="200"/>
    <n v="7"/>
    <n v="0"/>
    <n v="360.95"/>
    <n v="2.0397756246812851E-2"/>
    <n v="3.5000000000000003E-2"/>
    <n v="0"/>
    <n v="360.95"/>
    <n v="0"/>
  </r>
  <r>
    <d v="2025-01-18T00:00:00"/>
    <x v="211"/>
    <x v="12"/>
    <x v="0"/>
    <x v="0"/>
    <x v="2"/>
    <s v="Mobile"/>
    <n v="8364"/>
    <n v="323"/>
    <n v="8"/>
    <n v="853.36"/>
    <n v="945.5"/>
    <n v="3.8617886178861791E-2"/>
    <n v="2.4767801857585141E-2"/>
    <n v="106.67"/>
    <n v="92.139999999999986"/>
    <n v="0.10797318833786443"/>
  </r>
  <r>
    <d v="2025-01-19T00:00:00"/>
    <x v="212"/>
    <x v="10"/>
    <x v="3"/>
    <x v="0"/>
    <x v="1"/>
    <s v="Desktop"/>
    <n v="23873"/>
    <n v="550"/>
    <n v="10"/>
    <n v="481.96"/>
    <n v="695.25"/>
    <n v="2.3038579147991456E-2"/>
    <n v="1.8181818181818181E-2"/>
    <n v="48.195999999999998"/>
    <n v="213.29000000000002"/>
    <n v="0.442547099344344"/>
  </r>
  <r>
    <d v="2025-01-19T00:00:00"/>
    <x v="213"/>
    <x v="17"/>
    <x v="0"/>
    <x v="2"/>
    <x v="0"/>
    <s v="Mobile"/>
    <n v="9013"/>
    <n v="425"/>
    <n v="24"/>
    <n v="708.79"/>
    <n v="2991.69"/>
    <n v="4.7154110728947075E-2"/>
    <n v="5.647058823529412E-2"/>
    <n v="29.532916666666665"/>
    <n v="2282.9"/>
    <n v="3.2208411518221198"/>
  </r>
  <r>
    <d v="2025-01-19T00:00:00"/>
    <x v="214"/>
    <x v="2"/>
    <x v="1"/>
    <x v="0"/>
    <x v="1"/>
    <s v="Mobile"/>
    <n v="18479"/>
    <n v="723"/>
    <n v="7"/>
    <n v="964.36"/>
    <n v="558.85"/>
    <n v="3.9125493803777257E-2"/>
    <n v="9.6818810511756573E-3"/>
    <n v="137.7657142857143"/>
    <n v="-405.51"/>
    <n v="-0.42049649508482306"/>
  </r>
  <r>
    <d v="2025-01-19T00:00:00"/>
    <x v="215"/>
    <x v="18"/>
    <x v="4"/>
    <x v="0"/>
    <x v="0"/>
    <s v="Desktop"/>
    <n v="3828"/>
    <n v="539"/>
    <n v="89"/>
    <n v="196.39"/>
    <n v="13924.96"/>
    <n v="0.14080459770114942"/>
    <n v="0.16512059369202226"/>
    <n v="2.2066292134831458"/>
    <n v="13728.57"/>
    <n v="69.904628545241621"/>
  </r>
  <r>
    <d v="2025-01-19T00:00:00"/>
    <x v="216"/>
    <x v="0"/>
    <x v="0"/>
    <x v="2"/>
    <x v="0"/>
    <s v="Mobile"/>
    <n v="13391"/>
    <n v="977"/>
    <n v="47"/>
    <n v="1503.67"/>
    <n v="5197.53"/>
    <n v="7.2959450377118956E-2"/>
    <n v="4.8106448311156604E-2"/>
    <n v="31.992978723404256"/>
    <n v="3693.8599999999997"/>
    <n v="2.4565629426669413"/>
  </r>
  <r>
    <d v="2025-01-19T00:00:00"/>
    <x v="217"/>
    <x v="9"/>
    <x v="4"/>
    <x v="1"/>
    <x v="1"/>
    <s v="Mobile"/>
    <n v="2624"/>
    <n v="269"/>
    <n v="23"/>
    <n v="64.989999999999995"/>
    <n v="2417.33"/>
    <n v="0.10251524390243902"/>
    <n v="8.5501858736059477E-2"/>
    <n v="2.8256521739130434"/>
    <n v="2352.34"/>
    <n v="36.195414679181418"/>
  </r>
  <r>
    <d v="2025-01-19T00:00:00"/>
    <x v="218"/>
    <x v="13"/>
    <x v="2"/>
    <x v="2"/>
    <x v="4"/>
    <s v="Mobile"/>
    <n v="4968"/>
    <n v="129"/>
    <n v="2"/>
    <n v="522.33000000000004"/>
    <n v="374.39"/>
    <n v="2.5966183574879228E-2"/>
    <n v="1.5503875968992248E-2"/>
    <n v="261.16500000000002"/>
    <n v="-147.94000000000005"/>
    <n v="-0.28323090766373754"/>
  </r>
  <r>
    <d v="2025-01-19T00:00:00"/>
    <x v="219"/>
    <x v="11"/>
    <x v="1"/>
    <x v="0"/>
    <x v="0"/>
    <s v="Tablet"/>
    <n v="14415"/>
    <n v="675"/>
    <n v="10"/>
    <n v="834.76"/>
    <n v="951.49"/>
    <n v="4.6826222684703434E-2"/>
    <n v="1.4814814814814815E-2"/>
    <n v="83.475999999999999"/>
    <n v="116.73000000000002"/>
    <n v="0.13983659974124302"/>
  </r>
  <r>
    <d v="2025-01-19T00:00:00"/>
    <x v="220"/>
    <x v="9"/>
    <x v="4"/>
    <x v="0"/>
    <x v="4"/>
    <s v="Desktop"/>
    <n v="4306"/>
    <n v="520"/>
    <n v="80"/>
    <n v="149.03"/>
    <n v="6988.49"/>
    <n v="0.12076172782164422"/>
    <n v="0.15384615384615385"/>
    <n v="1.8628750000000001"/>
    <n v="6839.46"/>
    <n v="45.893175870630074"/>
  </r>
  <r>
    <d v="2025-01-19T00:00:00"/>
    <x v="221"/>
    <x v="3"/>
    <x v="2"/>
    <x v="1"/>
    <x v="1"/>
    <s v="Mobile"/>
    <n v="4405"/>
    <n v="111"/>
    <n v="1"/>
    <n v="692.1"/>
    <n v="38.380000000000003"/>
    <n v="2.5198637911464244E-2"/>
    <n v="9.0090090090090089E-3"/>
    <n v="692.1"/>
    <n v="-653.72"/>
    <n v="-0.94454558589799165"/>
  </r>
  <r>
    <d v="2025-01-19T00:00:00"/>
    <x v="222"/>
    <x v="6"/>
    <x v="3"/>
    <x v="2"/>
    <x v="0"/>
    <s v="Mobile"/>
    <n v="20200"/>
    <n v="540"/>
    <n v="7"/>
    <n v="678.67"/>
    <n v="403.23"/>
    <n v="2.6732673267326732E-2"/>
    <n v="1.2962962962962963E-2"/>
    <n v="96.952857142857141"/>
    <n v="-275.43999999999994"/>
    <n v="-0.40585262351363688"/>
  </r>
  <r>
    <d v="2025-01-20T00:00:00"/>
    <x v="223"/>
    <x v="19"/>
    <x v="4"/>
    <x v="0"/>
    <x v="0"/>
    <s v="Desktop"/>
    <n v="4169"/>
    <n v="528"/>
    <n v="86"/>
    <n v="183.97"/>
    <n v="9103.94"/>
    <n v="0.12664907651715041"/>
    <n v="0.16287878787878787"/>
    <n v="2.1391860465116279"/>
    <n v="8919.9700000000012"/>
    <n v="48.486003152687942"/>
  </r>
  <r>
    <d v="2025-01-20T00:00:00"/>
    <x v="224"/>
    <x v="10"/>
    <x v="3"/>
    <x v="1"/>
    <x v="4"/>
    <s v="Desktop"/>
    <n v="33853"/>
    <n v="453"/>
    <n v="5"/>
    <n v="372.86"/>
    <n v="72.02"/>
    <n v="1.3381384220010043E-2"/>
    <n v="1.1037527593818985E-2"/>
    <n v="74.572000000000003"/>
    <n v="-300.84000000000003"/>
    <n v="-0.8068443919969962"/>
  </r>
  <r>
    <d v="2025-01-20T00:00:00"/>
    <x v="225"/>
    <x v="3"/>
    <x v="2"/>
    <x v="0"/>
    <x v="1"/>
    <s v="Mobile"/>
    <n v="3358"/>
    <n v="103"/>
    <n v="1"/>
    <n v="787.1"/>
    <n v="176.9"/>
    <n v="3.0673019654556283E-2"/>
    <n v="9.7087378640776691E-3"/>
    <n v="787.1"/>
    <n v="-610.20000000000005"/>
    <n v="-0.77525092110278238"/>
  </r>
  <r>
    <d v="2025-01-20T00:00:00"/>
    <x v="226"/>
    <x v="2"/>
    <x v="1"/>
    <x v="0"/>
    <x v="0"/>
    <s v="Mobile"/>
    <n v="14438"/>
    <n v="567"/>
    <n v="13"/>
    <n v="858.75"/>
    <n v="1220.8"/>
    <n v="3.9271367225377475E-2"/>
    <n v="2.292768959435626E-2"/>
    <n v="66.057692307692307"/>
    <n v="362.04999999999995"/>
    <n v="0.42160116448326052"/>
  </r>
  <r>
    <d v="2025-01-20T00:00:00"/>
    <x v="227"/>
    <x v="9"/>
    <x v="4"/>
    <x v="0"/>
    <x v="2"/>
    <s v="Desktop"/>
    <n v="4888"/>
    <n v="559"/>
    <n v="76"/>
    <n v="168.99"/>
    <n v="8570.9599999999991"/>
    <n v="0.11436170212765957"/>
    <n v="0.13595706618962433"/>
    <n v="2.2235526315789476"/>
    <n v="8401.9699999999993"/>
    <n v="49.718740753890756"/>
  </r>
  <r>
    <d v="2025-01-20T00:00:00"/>
    <x v="228"/>
    <x v="12"/>
    <x v="0"/>
    <x v="1"/>
    <x v="1"/>
    <s v="Mobile"/>
    <n v="7363"/>
    <n v="333"/>
    <n v="6"/>
    <n v="662.15"/>
    <n v="569.4"/>
    <n v="4.5226130653266333E-2"/>
    <n v="1.8018018018018018E-2"/>
    <n v="110.35833333333333"/>
    <n v="-92.75"/>
    <n v="-0.14007400135920864"/>
  </r>
  <r>
    <d v="2025-01-20T00:00:00"/>
    <x v="229"/>
    <x v="10"/>
    <x v="3"/>
    <x v="1"/>
    <x v="1"/>
    <s v="Mobile"/>
    <n v="19545"/>
    <n v="328"/>
    <n v="2"/>
    <n v="508.48"/>
    <n v="125.53"/>
    <n v="1.6781785622921465E-2"/>
    <n v="6.0975609756097563E-3"/>
    <n v="254.24"/>
    <n v="-382.95000000000005"/>
    <n v="-0.75312696664568912"/>
  </r>
  <r>
    <d v="2025-01-20T00:00:00"/>
    <x v="230"/>
    <x v="1"/>
    <x v="0"/>
    <x v="0"/>
    <x v="0"/>
    <s v="Desktop"/>
    <n v="8177"/>
    <n v="251"/>
    <n v="9"/>
    <n v="556.88"/>
    <n v="1094.71"/>
    <n v="3.0695854225265991E-2"/>
    <n v="3.5856573705179286E-2"/>
    <n v="61.875555555555557"/>
    <n v="537.83000000000004"/>
    <n v="0.96579155293779639"/>
  </r>
  <r>
    <d v="2025-01-20T00:00:00"/>
    <x v="231"/>
    <x v="9"/>
    <x v="4"/>
    <x v="0"/>
    <x v="1"/>
    <s v="Desktop"/>
    <n v="2405"/>
    <n v="219"/>
    <n v="34"/>
    <n v="109.44"/>
    <n v="3819.15"/>
    <n v="9.1060291060291065E-2"/>
    <n v="0.15525114155251141"/>
    <n v="3.2188235294117646"/>
    <n v="3709.71"/>
    <n v="33.897203947368425"/>
  </r>
  <r>
    <d v="2025-01-20T00:00:00"/>
    <x v="232"/>
    <x v="19"/>
    <x v="4"/>
    <x v="0"/>
    <x v="0"/>
    <s v="Mobile"/>
    <n v="4527"/>
    <n v="464"/>
    <n v="62"/>
    <n v="144.41999999999999"/>
    <n v="9122.17"/>
    <n v="0.10249613430527943"/>
    <n v="0.1336206896551724"/>
    <n v="2.3293548387096772"/>
    <n v="8977.75"/>
    <n v="62.164173937127828"/>
  </r>
  <r>
    <d v="2025-01-20T00:00:00"/>
    <x v="233"/>
    <x v="18"/>
    <x v="4"/>
    <x v="0"/>
    <x v="4"/>
    <s v="Mobile"/>
    <n v="3363"/>
    <n v="466"/>
    <n v="43"/>
    <n v="105.74"/>
    <n v="6071.69"/>
    <n v="0.13856675587273268"/>
    <n v="9.2274678111587988E-2"/>
    <n v="2.4590697674418602"/>
    <n v="5965.95"/>
    <n v="56.420938150179687"/>
  </r>
  <r>
    <d v="2025-01-20T00:00:00"/>
    <x v="234"/>
    <x v="12"/>
    <x v="0"/>
    <x v="0"/>
    <x v="3"/>
    <s v="Mobile"/>
    <n v="7550"/>
    <n v="443"/>
    <n v="15"/>
    <n v="837.47"/>
    <n v="1670.85"/>
    <n v="5.8675496688741724E-2"/>
    <n v="3.3860045146726865E-2"/>
    <n v="55.831333333333333"/>
    <n v="833.37999999999988"/>
    <n v="0.9951162429698972"/>
  </r>
  <r>
    <d v="2025-01-20T00:00:00"/>
    <x v="235"/>
    <x v="15"/>
    <x v="1"/>
    <x v="1"/>
    <x v="3"/>
    <s v="Desktop"/>
    <n v="18892"/>
    <n v="566"/>
    <n v="9"/>
    <n v="680.98"/>
    <n v="872.52"/>
    <n v="2.9959771331780648E-2"/>
    <n v="1.5901060070671377E-2"/>
    <n v="75.664444444444442"/>
    <n v="191.53999999999996"/>
    <n v="0.28127110928367932"/>
  </r>
  <r>
    <d v="2025-01-21T00:00:00"/>
    <x v="236"/>
    <x v="0"/>
    <x v="0"/>
    <x v="1"/>
    <x v="1"/>
    <s v="Desktop"/>
    <n v="5368"/>
    <n v="178"/>
    <n v="6"/>
    <n v="446.92"/>
    <n v="410.4"/>
    <n v="3.3159463487332341E-2"/>
    <n v="3.3707865168539325E-2"/>
    <n v="74.486666666666665"/>
    <n v="-36.520000000000039"/>
    <n v="-8.171484829499695E-2"/>
  </r>
  <r>
    <d v="2025-01-21T00:00:00"/>
    <x v="237"/>
    <x v="1"/>
    <x v="0"/>
    <x v="1"/>
    <x v="3"/>
    <s v="Desktop"/>
    <n v="7406"/>
    <n v="306"/>
    <n v="10"/>
    <n v="674.13"/>
    <n v="626.51"/>
    <n v="4.1317850391574401E-2"/>
    <n v="3.2679738562091505E-2"/>
    <n v="67.412999999999997"/>
    <n v="-47.620000000000005"/>
    <n v="-7.0639194220699281E-2"/>
  </r>
  <r>
    <d v="2025-01-21T00:00:00"/>
    <x v="238"/>
    <x v="18"/>
    <x v="4"/>
    <x v="0"/>
    <x v="3"/>
    <s v="Desktop"/>
    <n v="4585"/>
    <n v="380"/>
    <n v="65"/>
    <n v="130.54"/>
    <n v="7609.2"/>
    <n v="8.2878953107960743E-2"/>
    <n v="0.17105263157894737"/>
    <n v="2.0083076923076923"/>
    <n v="7478.66"/>
    <n v="57.290179255400645"/>
  </r>
  <r>
    <d v="2025-01-21T00:00:00"/>
    <x v="239"/>
    <x v="6"/>
    <x v="3"/>
    <x v="0"/>
    <x v="3"/>
    <s v="Desktop"/>
    <n v="21234"/>
    <n v="457"/>
    <n v="3"/>
    <n v="670.16"/>
    <n v="132.55000000000001"/>
    <n v="2.1522087218611662E-2"/>
    <n v="6.5645514223194746E-3"/>
    <n v="223.38666666666666"/>
    <n v="-537.6099999999999"/>
    <n v="-0.80221141220007153"/>
  </r>
  <r>
    <d v="2025-01-21T00:00:00"/>
    <x v="240"/>
    <x v="14"/>
    <x v="1"/>
    <x v="0"/>
    <x v="3"/>
    <s v="Mobile"/>
    <n v="11604"/>
    <n v="346"/>
    <n v="8"/>
    <n v="397.85"/>
    <n v="565.52"/>
    <n v="2.9817304377800759E-2"/>
    <n v="2.3121387283236993E-2"/>
    <n v="49.731250000000003"/>
    <n v="167.66999999999996"/>
    <n v="0.42144024129697111"/>
  </r>
  <r>
    <d v="2025-01-21T00:00:00"/>
    <x v="241"/>
    <x v="7"/>
    <x v="2"/>
    <x v="1"/>
    <x v="4"/>
    <s v="Desktop"/>
    <n v="4689"/>
    <n v="122"/>
    <n v="2"/>
    <n v="611.29"/>
    <n v="249.13"/>
    <n v="2.6018340797611433E-2"/>
    <n v="1.6393442622950821E-2"/>
    <n v="305.64499999999998"/>
    <n v="-362.15999999999997"/>
    <n v="-0.59245202767917027"/>
  </r>
  <r>
    <d v="2025-01-21T00:00:00"/>
    <x v="242"/>
    <x v="4"/>
    <x v="3"/>
    <x v="2"/>
    <x v="3"/>
    <s v="Mobile"/>
    <n v="22589"/>
    <n v="825"/>
    <n v="14"/>
    <n v="901.62"/>
    <n v="864.92"/>
    <n v="3.65222010713179E-2"/>
    <n v="1.6969696969696971E-2"/>
    <n v="64.401428571428568"/>
    <n v="-36.700000000000045"/>
    <n v="-4.0704509660389125E-2"/>
  </r>
  <r>
    <d v="2025-01-21T00:00:00"/>
    <x v="243"/>
    <x v="6"/>
    <x v="3"/>
    <x v="0"/>
    <x v="3"/>
    <s v="Mobile"/>
    <n v="37368"/>
    <n v="882"/>
    <n v="11"/>
    <n v="0"/>
    <n v="568.17999999999995"/>
    <n v="2.3603082851637765E-2"/>
    <n v="1.2471655328798186E-2"/>
    <n v="0"/>
    <n v="568.17999999999995"/>
    <n v="0"/>
  </r>
  <r>
    <d v="2025-01-21T00:00:00"/>
    <x v="244"/>
    <x v="10"/>
    <x v="3"/>
    <x v="0"/>
    <x v="4"/>
    <s v="Mobile"/>
    <n v="19536"/>
    <n v="237"/>
    <n v="3"/>
    <n v="241.11"/>
    <n v="145.05000000000001"/>
    <n v="1.2131449631449631E-2"/>
    <n v="1.2658227848101266E-2"/>
    <n v="80.37"/>
    <n v="-96.06"/>
    <n v="-0.39840736593256187"/>
  </r>
  <r>
    <d v="2025-01-21T00:00:00"/>
    <x v="245"/>
    <x v="13"/>
    <x v="2"/>
    <x v="2"/>
    <x v="3"/>
    <s v="Mobile"/>
    <n v="2181"/>
    <n v="91"/>
    <n v="1"/>
    <n v="469.49"/>
    <n v="133.83000000000001"/>
    <n v="4.1723979825767997E-2"/>
    <n v="1.098901098901099E-2"/>
    <n v="469.49"/>
    <n v="-335.65999999999997"/>
    <n v="-0.71494600523972818"/>
  </r>
  <r>
    <d v="2025-01-21T00:00:00"/>
    <x v="246"/>
    <x v="7"/>
    <x v="2"/>
    <x v="0"/>
    <x v="3"/>
    <s v="Desktop"/>
    <n v="2182"/>
    <n v="57"/>
    <n v="1"/>
    <n v="289.20999999999998"/>
    <n v="160.63"/>
    <n v="2.6122823098075159E-2"/>
    <n v="1.7543859649122806E-2"/>
    <n v="289.20999999999998"/>
    <n v="-128.57999999999998"/>
    <n v="-0.44459043601535214"/>
  </r>
  <r>
    <d v="2025-01-21T00:00:00"/>
    <x v="247"/>
    <x v="9"/>
    <x v="4"/>
    <x v="0"/>
    <x v="0"/>
    <s v="Mobile"/>
    <n v="3499"/>
    <n v="436"/>
    <n v="62"/>
    <n v="184.82"/>
    <n v="7571.63"/>
    <n v="0.12460703058016576"/>
    <n v="0.14220183486238533"/>
    <n v="2.9809677419354839"/>
    <n v="7386.81"/>
    <n v="39.967590087652852"/>
  </r>
  <r>
    <d v="2025-01-22T00:00:00"/>
    <x v="248"/>
    <x v="6"/>
    <x v="3"/>
    <x v="2"/>
    <x v="1"/>
    <s v="Mobile"/>
    <n v="29612"/>
    <n v="820"/>
    <n v="10"/>
    <n v="913.56"/>
    <n v="572.66"/>
    <n v="2.7691476428474943E-2"/>
    <n v="1.2195121951219513E-2"/>
    <n v="91.355999999999995"/>
    <n v="-340.9"/>
    <n v="-0.37315556723149002"/>
  </r>
  <r>
    <d v="2025-01-22T00:00:00"/>
    <x v="249"/>
    <x v="6"/>
    <x v="3"/>
    <x v="0"/>
    <x v="1"/>
    <s v="Mobile"/>
    <n v="31752"/>
    <n v="584"/>
    <n v="8"/>
    <n v="907.74"/>
    <n v="561.4"/>
    <n v="1.8392542202066011E-2"/>
    <n v="1.3698630136986301E-2"/>
    <n v="113.4675"/>
    <n v="-346.34000000000003"/>
    <n v="-0.38154096988124359"/>
  </r>
  <r>
    <d v="2025-01-22T00:00:00"/>
    <x v="250"/>
    <x v="11"/>
    <x v="1"/>
    <x v="2"/>
    <x v="2"/>
    <s v="Mobile"/>
    <n v="14038"/>
    <n v="495"/>
    <n v="16"/>
    <n v="962.59"/>
    <n v="1027.5899999999999"/>
    <n v="3.5261433252600088E-2"/>
    <n v="3.2323232323232323E-2"/>
    <n v="60.161875000000002"/>
    <n v="64.999999999999886"/>
    <n v="6.7526153398643124E-2"/>
  </r>
  <r>
    <d v="2025-01-22T00:00:00"/>
    <x v="251"/>
    <x v="0"/>
    <x v="0"/>
    <x v="0"/>
    <x v="0"/>
    <s v="Desktop"/>
    <n v="9557"/>
    <n v="385"/>
    <n v="15"/>
    <n v="848.2"/>
    <n v="1016.14"/>
    <n v="4.0284608140629903E-2"/>
    <n v="3.896103896103896E-2"/>
    <n v="56.546666666666667"/>
    <n v="167.93999999999994"/>
    <n v="0.19799575571799097"/>
  </r>
  <r>
    <d v="2025-01-22T00:00:00"/>
    <x v="252"/>
    <x v="2"/>
    <x v="1"/>
    <x v="2"/>
    <x v="2"/>
    <s v="Desktop"/>
    <n v="10545"/>
    <n v="265"/>
    <n v="15"/>
    <n v="393.97"/>
    <n v="1440.18"/>
    <n v="2.5130393551446185E-2"/>
    <n v="5.6603773584905662E-2"/>
    <n v="26.264666666666667"/>
    <n v="1046.21"/>
    <n v="2.6555575297611491"/>
  </r>
  <r>
    <d v="2025-01-22T00:00:00"/>
    <x v="253"/>
    <x v="15"/>
    <x v="1"/>
    <x v="0"/>
    <x v="2"/>
    <s v="Mobile"/>
    <n v="14364"/>
    <n v="424"/>
    <n v="11"/>
    <n v="642.82000000000005"/>
    <n v="1000.94"/>
    <n v="2.9518240044555832E-2"/>
    <n v="2.5943396226415096E-2"/>
    <n v="58.438181818181825"/>
    <n v="358.12"/>
    <n v="0.55710774400298679"/>
  </r>
  <r>
    <d v="2025-01-22T00:00:00"/>
    <x v="254"/>
    <x v="10"/>
    <x v="3"/>
    <x v="1"/>
    <x v="3"/>
    <s v="Mobile"/>
    <n v="39641"/>
    <n v="1094"/>
    <n v="10"/>
    <n v="1188.1600000000001"/>
    <n v="587.97"/>
    <n v="2.7597689261118538E-2"/>
    <n v="9.140767824497258E-3"/>
    <n v="118.816"/>
    <n v="-600.19000000000005"/>
    <n v="-0.50514240506329111"/>
  </r>
  <r>
    <d v="2025-01-22T00:00:00"/>
    <x v="255"/>
    <x v="18"/>
    <x v="4"/>
    <x v="1"/>
    <x v="0"/>
    <s v="Mobile"/>
    <n v="1553"/>
    <n v="193"/>
    <n v="13"/>
    <n v="47.26"/>
    <n v="1121.0999999999999"/>
    <n v="0.12427559562137798"/>
    <n v="6.7357512953367879E-2"/>
    <n v="3.6353846153846154"/>
    <n v="1073.8399999999999"/>
    <n v="22.721963605586119"/>
  </r>
  <r>
    <d v="2025-01-22T00:00:00"/>
    <x v="256"/>
    <x v="11"/>
    <x v="1"/>
    <x v="0"/>
    <x v="2"/>
    <s v="Mobile"/>
    <n v="13573"/>
    <n v="424"/>
    <n v="9"/>
    <n v="731.31"/>
    <n v="708.69"/>
    <n v="3.1238488175053414E-2"/>
    <n v="2.1226415094339621E-2"/>
    <n v="81.256666666666661"/>
    <n v="-22.619999999999891"/>
    <n v="-3.0930795421913952E-2"/>
  </r>
  <r>
    <d v="2025-01-22T00:00:00"/>
    <x v="257"/>
    <x v="8"/>
    <x v="3"/>
    <x v="2"/>
    <x v="4"/>
    <s v="Mobile"/>
    <n v="32289"/>
    <n v="1250"/>
    <n v="26"/>
    <n v="1115.44"/>
    <n v="1683.7"/>
    <n v="3.8712874353494998E-2"/>
    <n v="2.0799999999999999E-2"/>
    <n v="42.901538461538465"/>
    <n v="568.26"/>
    <n v="0.50944918597145517"/>
  </r>
  <r>
    <d v="2025-01-22T00:00:00"/>
    <x v="258"/>
    <x v="7"/>
    <x v="2"/>
    <x v="0"/>
    <x v="1"/>
    <s v="Mobile"/>
    <n v="3140"/>
    <n v="140"/>
    <n v="4"/>
    <n v="1104.67"/>
    <n v="175.1"/>
    <n v="4.4585987261146494E-2"/>
    <n v="2.8571428571428571E-2"/>
    <n v="276.16750000000002"/>
    <n v="-929.57"/>
    <n v="-0.84149112404609516"/>
  </r>
  <r>
    <d v="2025-01-22T00:00:00"/>
    <x v="259"/>
    <x v="5"/>
    <x v="4"/>
    <x v="0"/>
    <x v="3"/>
    <s v="Mobile"/>
    <n v="3449"/>
    <n v="384"/>
    <n v="53"/>
    <n v="150.41999999999999"/>
    <n v="6274.06"/>
    <n v="0.11133661930994491"/>
    <n v="0.13802083333333334"/>
    <n v="2.8381132075471696"/>
    <n v="6123.64"/>
    <n v="40.710277888578652"/>
  </r>
  <r>
    <d v="2025-01-22T00:00:00"/>
    <x v="260"/>
    <x v="12"/>
    <x v="0"/>
    <x v="2"/>
    <x v="4"/>
    <s v="Mobile"/>
    <n v="6888"/>
    <n v="295"/>
    <n v="14"/>
    <n v="668.56"/>
    <n v="1490.93"/>
    <n v="4.2828106852497098E-2"/>
    <n v="4.7457627118644069E-2"/>
    <n v="47.754285714285707"/>
    <n v="822.37000000000012"/>
    <n v="1.2300616249850427"/>
  </r>
  <r>
    <d v="2025-01-22T00:00:00"/>
    <x v="261"/>
    <x v="0"/>
    <x v="0"/>
    <x v="0"/>
    <x v="3"/>
    <s v="Mobile"/>
    <n v="5141"/>
    <n v="227"/>
    <n v="6"/>
    <n v="619.39"/>
    <n v="488.56"/>
    <n v="4.4154833689943593E-2"/>
    <n v="2.643171806167401E-2"/>
    <n v="103.23166666666667"/>
    <n v="-130.82999999999998"/>
    <n v="-0.21122394614055762"/>
  </r>
  <r>
    <d v="2025-01-22T00:00:00"/>
    <x v="262"/>
    <x v="12"/>
    <x v="0"/>
    <x v="0"/>
    <x v="2"/>
    <s v="Mobile"/>
    <n v="10344"/>
    <n v="695"/>
    <n v="18"/>
    <n v="1894.23"/>
    <n v="1138.01"/>
    <n v="6.7188708430007738E-2"/>
    <n v="2.5899280575539568E-2"/>
    <n v="105.235"/>
    <n v="-756.22"/>
    <n v="-0.39922290323772719"/>
  </r>
  <r>
    <d v="2025-01-23T00:00:00"/>
    <x v="263"/>
    <x v="6"/>
    <x v="3"/>
    <x v="2"/>
    <x v="4"/>
    <s v="Desktop"/>
    <n v="17018"/>
    <n v="548"/>
    <n v="12"/>
    <n v="555.46"/>
    <n v="548.20000000000005"/>
    <n v="3.2201198730755672E-2"/>
    <n v="2.1897810218978103E-2"/>
    <n v="46.288333333333334"/>
    <n v="-7.2599999999999909"/>
    <n v="-1.3070248082670202E-2"/>
  </r>
  <r>
    <d v="2025-01-23T00:00:00"/>
    <x v="264"/>
    <x v="2"/>
    <x v="1"/>
    <x v="2"/>
    <x v="4"/>
    <s v="Tablet"/>
    <n v="11247"/>
    <n v="453"/>
    <n v="12"/>
    <n v="490.26"/>
    <n v="896.8"/>
    <n v="4.0277407308615634E-2"/>
    <n v="2.6490066225165563E-2"/>
    <n v="40.854999999999997"/>
    <n v="406.53999999999996"/>
    <n v="0.82923346795577846"/>
  </r>
  <r>
    <d v="2025-01-23T00:00:00"/>
    <x v="265"/>
    <x v="10"/>
    <x v="3"/>
    <x v="0"/>
    <x v="1"/>
    <s v="Mobile"/>
    <n v="16148"/>
    <n v="492"/>
    <n v="8"/>
    <n v="607.29"/>
    <n v="396.74"/>
    <n v="3.0468169432747088E-2"/>
    <n v="1.6260162601626018E-2"/>
    <n v="75.911249999999995"/>
    <n v="-210.54999999999995"/>
    <n v="-0.34670421050898248"/>
  </r>
  <r>
    <d v="2025-01-23T00:00:00"/>
    <x v="266"/>
    <x v="19"/>
    <x v="4"/>
    <x v="0"/>
    <x v="4"/>
    <s v="Desktop"/>
    <n v="2201"/>
    <n v="209"/>
    <n v="27"/>
    <n v="87.23"/>
    <n v="3698.66"/>
    <n v="9.4956837800999547E-2"/>
    <n v="0.12918660287081341"/>
    <n v="3.2307407407407407"/>
    <n v="3611.43"/>
    <n v="41.401238106156136"/>
  </r>
  <r>
    <d v="2025-01-23T00:00:00"/>
    <x v="267"/>
    <x v="1"/>
    <x v="0"/>
    <x v="0"/>
    <x v="0"/>
    <s v="Tablet"/>
    <n v="11840"/>
    <n v="673"/>
    <n v="27"/>
    <n v="1158.1500000000001"/>
    <n v="2532.2800000000002"/>
    <n v="5.6841216216216219E-2"/>
    <n v="4.0118870728083213E-2"/>
    <n v="42.894444444444446"/>
    <n v="1374.13"/>
    <n v="1.1864870698959546"/>
  </r>
  <r>
    <d v="2025-01-23T00:00:00"/>
    <x v="268"/>
    <x v="0"/>
    <x v="0"/>
    <x v="1"/>
    <x v="3"/>
    <s v="Desktop"/>
    <n v="9346"/>
    <n v="445"/>
    <n v="16"/>
    <n v="1383.87"/>
    <n v="1896.77"/>
    <n v="4.7613952493045154E-2"/>
    <n v="3.5955056179775284E-2"/>
    <n v="86.491874999999993"/>
    <n v="512.90000000000009"/>
    <n v="0.37062729880696893"/>
  </r>
  <r>
    <d v="2025-01-23T00:00:00"/>
    <x v="269"/>
    <x v="10"/>
    <x v="3"/>
    <x v="0"/>
    <x v="4"/>
    <s v="Mobile"/>
    <n v="21878"/>
    <n v="499"/>
    <n v="6"/>
    <n v="641.73"/>
    <n v="431.06"/>
    <n v="2.2808300575921016E-2"/>
    <n v="1.2024048096192385E-2"/>
    <n v="106.955"/>
    <n v="-210.67000000000002"/>
    <n v="-0.32828448101226376"/>
  </r>
  <r>
    <d v="2025-01-24T00:00:00"/>
    <x v="270"/>
    <x v="1"/>
    <x v="0"/>
    <x v="1"/>
    <x v="2"/>
    <s v="Mobile"/>
    <n v="8682"/>
    <n v="263"/>
    <n v="6"/>
    <n v="751.63"/>
    <n v="514.76"/>
    <n v="3.0292559318129464E-2"/>
    <n v="2.2813688212927757E-2"/>
    <n v="125.27166666666666"/>
    <n v="-236.87"/>
    <n v="-0.31514175857802379"/>
  </r>
  <r>
    <d v="2025-01-24T00:00:00"/>
    <x v="271"/>
    <x v="13"/>
    <x v="2"/>
    <x v="0"/>
    <x v="1"/>
    <s v="Mobile"/>
    <n v="4686"/>
    <n v="211"/>
    <n v="5"/>
    <n v="1636.26"/>
    <n v="974.42"/>
    <n v="4.5027742210840806E-2"/>
    <n v="2.3696682464454975E-2"/>
    <n v="327.25200000000001"/>
    <n v="-661.84"/>
    <n v="-0.4044833950594649"/>
  </r>
  <r>
    <d v="2025-01-24T00:00:00"/>
    <x v="272"/>
    <x v="17"/>
    <x v="0"/>
    <x v="0"/>
    <x v="4"/>
    <s v="Desktop"/>
    <n v="11773"/>
    <n v="327"/>
    <n v="19"/>
    <n v="558.51"/>
    <n v="2217.7800000000002"/>
    <n v="2.7775418330077295E-2"/>
    <n v="5.8103975535168197E-2"/>
    <n v="29.395263157894735"/>
    <n v="1659.2700000000002"/>
    <n v="2.9708868238706563"/>
  </r>
  <r>
    <d v="2025-01-24T00:00:00"/>
    <x v="273"/>
    <x v="14"/>
    <x v="1"/>
    <x v="2"/>
    <x v="3"/>
    <s v="Mobile"/>
    <n v="8048"/>
    <n v="245"/>
    <n v="9"/>
    <n v="492.73"/>
    <n v="888.48"/>
    <n v="3.044234592445328E-2"/>
    <n v="3.6734693877551024E-2"/>
    <n v="54.747777777777777"/>
    <n v="395.75"/>
    <n v="0.80317821119071298"/>
  </r>
  <r>
    <d v="2025-01-24T00:00:00"/>
    <x v="274"/>
    <x v="10"/>
    <x v="3"/>
    <x v="0"/>
    <x v="3"/>
    <s v="Mobile"/>
    <n v="27973"/>
    <n v="591"/>
    <n v="8"/>
    <n v="832.92"/>
    <n v="370.24"/>
    <n v="2.1127515818825295E-2"/>
    <n v="1.3536379018612521E-2"/>
    <n v="104.11499999999999"/>
    <n v="-462.67999999999995"/>
    <n v="-0.55549152379580269"/>
  </r>
  <r>
    <d v="2025-01-24T00:00:00"/>
    <x v="275"/>
    <x v="10"/>
    <x v="3"/>
    <x v="1"/>
    <x v="2"/>
    <s v="Desktop"/>
    <n v="16471"/>
    <n v="338"/>
    <n v="3"/>
    <n v="324.94"/>
    <n v="85.19"/>
    <n v="2.0520915548539857E-2"/>
    <n v="8.8757396449704144E-3"/>
    <n v="108.31333333333333"/>
    <n v="-239.75"/>
    <n v="-0.73782852218871176"/>
  </r>
  <r>
    <d v="2025-01-24T00:00:00"/>
    <x v="276"/>
    <x v="5"/>
    <x v="4"/>
    <x v="2"/>
    <x v="1"/>
    <s v="Mobile"/>
    <n v="4579"/>
    <n v="529"/>
    <n v="97"/>
    <n v="183.09"/>
    <n v="9262.2800000000007"/>
    <n v="0.11552740773094562"/>
    <n v="0.1833648393194707"/>
    <n v="1.8875257731958763"/>
    <n v="9079.19"/>
    <n v="49.58867223769731"/>
  </r>
  <r>
    <d v="2025-01-24T00:00:00"/>
    <x v="277"/>
    <x v="4"/>
    <x v="3"/>
    <x v="0"/>
    <x v="4"/>
    <s v="Tablet"/>
    <n v="33934"/>
    <n v="982"/>
    <n v="12"/>
    <n v="1163.71"/>
    <n v="939.35"/>
    <n v="2.8938527730299993E-2"/>
    <n v="1.2219959266802444E-2"/>
    <n v="96.975833333333341"/>
    <n v="-224.36"/>
    <n v="-0.19279717455379777"/>
  </r>
  <r>
    <d v="2025-01-24T00:00:00"/>
    <x v="278"/>
    <x v="15"/>
    <x v="1"/>
    <x v="1"/>
    <x v="1"/>
    <s v="Desktop"/>
    <n v="16361"/>
    <n v="481"/>
    <n v="14"/>
    <n v="597.6"/>
    <n v="700.97"/>
    <n v="2.9399180979157752E-2"/>
    <n v="2.9106029106029108E-2"/>
    <n v="42.68571428571429"/>
    <n v="103.37"/>
    <n v="0.172975234270415"/>
  </r>
  <r>
    <d v="2025-01-24T00:00:00"/>
    <x v="279"/>
    <x v="13"/>
    <x v="2"/>
    <x v="2"/>
    <x v="0"/>
    <s v="Mobile"/>
    <n v="5061"/>
    <n v="246"/>
    <n v="5"/>
    <n v="1620.2"/>
    <n v="947.47"/>
    <n v="4.8606994665085952E-2"/>
    <n v="2.032520325203252E-2"/>
    <n v="324.04000000000002"/>
    <n v="-672.73"/>
    <n v="-0.41521417108998887"/>
  </r>
  <r>
    <d v="2025-01-24T00:00:00"/>
    <x v="280"/>
    <x v="17"/>
    <x v="0"/>
    <x v="2"/>
    <x v="1"/>
    <s v="Mobile"/>
    <n v="14376"/>
    <n v="1086"/>
    <n v="50"/>
    <n v="2040.99"/>
    <n v="4502.59"/>
    <n v="7.554257095158598E-2"/>
    <n v="4.6040515653775323E-2"/>
    <n v="40.819800000000001"/>
    <n v="2461.6000000000004"/>
    <n v="1.2060813624760534"/>
  </r>
  <r>
    <d v="2025-01-24T00:00:00"/>
    <x v="281"/>
    <x v="14"/>
    <x v="1"/>
    <x v="0"/>
    <x v="4"/>
    <s v="Mobile"/>
    <n v="17776"/>
    <n v="734"/>
    <n v="14"/>
    <n v="744.09"/>
    <n v="1157.05"/>
    <n v="4.1291629162916295E-2"/>
    <n v="1.9073569482288829E-2"/>
    <n v="53.149285714285718"/>
    <n v="412.95999999999992"/>
    <n v="0.5549866279616712"/>
  </r>
  <r>
    <d v="2025-01-25T00:00:00"/>
    <x v="282"/>
    <x v="6"/>
    <x v="3"/>
    <x v="0"/>
    <x v="3"/>
    <s v="Tablet"/>
    <n v="16122"/>
    <n v="443"/>
    <n v="6"/>
    <n v="493.74"/>
    <n v="242.62"/>
    <n v="2.7477980399454163E-2"/>
    <n v="1.3544018058690745E-2"/>
    <n v="82.29"/>
    <n v="-251.12"/>
    <n v="-0.50860776927127638"/>
  </r>
  <r>
    <d v="2025-01-25T00:00:00"/>
    <x v="283"/>
    <x v="2"/>
    <x v="1"/>
    <x v="1"/>
    <x v="0"/>
    <s v="Desktop"/>
    <n v="8047"/>
    <n v="227"/>
    <n v="4"/>
    <n v="338.69"/>
    <n v="377.37"/>
    <n v="2.8209270535603331E-2"/>
    <n v="1.7621145374449341E-2"/>
    <n v="84.672499999999999"/>
    <n v="38.680000000000007"/>
    <n v="0.11420472998907558"/>
  </r>
  <r>
    <d v="2025-01-25T00:00:00"/>
    <x v="284"/>
    <x v="0"/>
    <x v="0"/>
    <x v="2"/>
    <x v="0"/>
    <s v="Mobile"/>
    <n v="12114"/>
    <n v="534"/>
    <n v="32"/>
    <n v="833.15"/>
    <n v="3733.62"/>
    <n v="4.4081228330856863E-2"/>
    <n v="5.9925093632958802E-2"/>
    <n v="26.035937499999999"/>
    <n v="2900.47"/>
    <n v="3.4813298925763667"/>
  </r>
  <r>
    <d v="2025-01-25T00:00:00"/>
    <x v="285"/>
    <x v="13"/>
    <x v="2"/>
    <x v="1"/>
    <x v="1"/>
    <s v="Mobile"/>
    <n v="4999"/>
    <n v="112"/>
    <n v="2"/>
    <n v="572.58000000000004"/>
    <n v="22.95"/>
    <n v="2.2404480896179236E-2"/>
    <n v="1.7857142857142856E-2"/>
    <n v="286.29000000000002"/>
    <n v="-549.63"/>
    <n v="-0.95991826469663621"/>
  </r>
  <r>
    <d v="2025-01-25T00:00:00"/>
    <x v="286"/>
    <x v="0"/>
    <x v="0"/>
    <x v="2"/>
    <x v="0"/>
    <s v="Desktop"/>
    <n v="11562"/>
    <n v="365"/>
    <n v="31"/>
    <n v="965.8"/>
    <n v="2251.37"/>
    <n v="3.1568932710603702E-2"/>
    <n v="8.4931506849315067E-2"/>
    <n v="31.154838709677417"/>
    <n v="1285.57"/>
    <n v="1.3310933940774488"/>
  </r>
  <r>
    <d v="2025-01-25T00:00:00"/>
    <x v="287"/>
    <x v="8"/>
    <x v="3"/>
    <x v="1"/>
    <x v="0"/>
    <s v="Mobile"/>
    <n v="34997"/>
    <n v="453"/>
    <n v="4"/>
    <n v="365.99"/>
    <n v="55.5"/>
    <n v="1.2943966625710776E-2"/>
    <n v="8.8300220750551876E-3"/>
    <n v="91.497500000000002"/>
    <n v="-310.49"/>
    <n v="-0.84835651247301835"/>
  </r>
  <r>
    <d v="2025-01-25T00:00:00"/>
    <x v="288"/>
    <x v="19"/>
    <x v="4"/>
    <x v="2"/>
    <x v="4"/>
    <s v="Desktop"/>
    <n v="2579"/>
    <n v="275"/>
    <n v="67"/>
    <n v="109.45"/>
    <n v="6952.27"/>
    <n v="0.10663047692904226"/>
    <n v="0.24363636363636362"/>
    <n v="1.6335820895522388"/>
    <n v="6842.8200000000006"/>
    <n v="62.520054819552314"/>
  </r>
  <r>
    <d v="2025-01-25T00:00:00"/>
    <x v="289"/>
    <x v="6"/>
    <x v="3"/>
    <x v="0"/>
    <x v="3"/>
    <s v="Mobile"/>
    <n v="19367"/>
    <n v="681"/>
    <n v="7"/>
    <n v="675.57"/>
    <n v="526.19000000000005"/>
    <n v="3.5162905974079617E-2"/>
    <n v="1.0279001468428781E-2"/>
    <n v="96.51"/>
    <n v="-149.38"/>
    <n v="-0.22111698269609364"/>
  </r>
  <r>
    <d v="2025-01-25T00:00:00"/>
    <x v="290"/>
    <x v="18"/>
    <x v="4"/>
    <x v="1"/>
    <x v="2"/>
    <s v="Desktop"/>
    <n v="4717"/>
    <n v="560"/>
    <n v="54"/>
    <n v="133.91999999999999"/>
    <n v="5577.18"/>
    <n v="0.11871952512189951"/>
    <n v="9.6428571428571433E-2"/>
    <n v="2.48"/>
    <n v="5443.26"/>
    <n v="40.645609318996421"/>
  </r>
  <r>
    <d v="2025-01-25T00:00:00"/>
    <x v="291"/>
    <x v="7"/>
    <x v="2"/>
    <x v="0"/>
    <x v="3"/>
    <s v="Desktop"/>
    <n v="5112"/>
    <n v="135"/>
    <n v="2"/>
    <n v="643.32000000000005"/>
    <n v="93.26"/>
    <n v="2.6408450704225352E-2"/>
    <n v="1.4814814814814815E-2"/>
    <n v="321.66000000000003"/>
    <n v="-550.06000000000006"/>
    <n v="-0.85503326493813347"/>
  </r>
  <r>
    <d v="2025-01-25T00:00:00"/>
    <x v="292"/>
    <x v="18"/>
    <x v="4"/>
    <x v="2"/>
    <x v="3"/>
    <s v="Mobile"/>
    <n v="1826"/>
    <n v="233"/>
    <n v="28"/>
    <n v="98.75"/>
    <n v="3647.69"/>
    <n v="0.1276013143483023"/>
    <n v="0.12017167381974249"/>
    <n v="3.5267857142857144"/>
    <n v="3548.94"/>
    <n v="35.938632911392403"/>
  </r>
  <r>
    <d v="2025-01-25T00:00:00"/>
    <x v="293"/>
    <x v="4"/>
    <x v="3"/>
    <x v="2"/>
    <x v="2"/>
    <s v="Mobile"/>
    <n v="20916"/>
    <n v="757"/>
    <n v="7"/>
    <n v="902.18"/>
    <n v="336.97"/>
    <n v="3.6192388602027156E-2"/>
    <n v="9.247027741083224E-3"/>
    <n v="128.88285714285715"/>
    <n v="-565.20999999999992"/>
    <n v="-0.6264936043805005"/>
  </r>
  <r>
    <d v="2025-01-25T00:00:00"/>
    <x v="294"/>
    <x v="17"/>
    <x v="0"/>
    <x v="1"/>
    <x v="0"/>
    <s v="Desktop"/>
    <n v="7380"/>
    <n v="330"/>
    <n v="8"/>
    <n v="907.67"/>
    <n v="747.83"/>
    <n v="4.4715447154471545E-2"/>
    <n v="2.4242424242424242E-2"/>
    <n v="113.45874999999999"/>
    <n v="-159.83999999999992"/>
    <n v="-0.17609924311699177"/>
  </r>
  <r>
    <d v="2025-01-25T00:00:00"/>
    <x v="295"/>
    <x v="16"/>
    <x v="2"/>
    <x v="1"/>
    <x v="4"/>
    <s v="Mobile"/>
    <n v="6248"/>
    <n v="184"/>
    <n v="1"/>
    <n v="979.93"/>
    <n v="125.97"/>
    <n v="2.9449423815621E-2"/>
    <n v="5.434782608695652E-3"/>
    <n v="979.93"/>
    <n v="-853.95999999999992"/>
    <n v="-0.8714500015307215"/>
  </r>
  <r>
    <d v="2025-01-26T00:00:00"/>
    <x v="296"/>
    <x v="10"/>
    <x v="3"/>
    <x v="1"/>
    <x v="0"/>
    <s v="Mobile"/>
    <n v="20471"/>
    <n v="582"/>
    <n v="3"/>
    <n v="572.41"/>
    <n v="204.92"/>
    <n v="2.8430462605637242E-2"/>
    <n v="5.1546391752577319E-3"/>
    <n v="190.80333333333331"/>
    <n v="-367.49"/>
    <n v="-0.64200485665868878"/>
  </r>
  <r>
    <d v="2025-01-26T00:00:00"/>
    <x v="297"/>
    <x v="12"/>
    <x v="0"/>
    <x v="0"/>
    <x v="2"/>
    <s v="Desktop"/>
    <n v="8500"/>
    <n v="372"/>
    <n v="20"/>
    <n v="661.78"/>
    <n v="1649.65"/>
    <n v="4.3764705882352942E-2"/>
    <n v="5.3763440860215055E-2"/>
    <n v="33.088999999999999"/>
    <n v="987.87000000000012"/>
    <n v="1.4927468342953853"/>
  </r>
  <r>
    <d v="2025-01-26T00:00:00"/>
    <x v="298"/>
    <x v="7"/>
    <x v="2"/>
    <x v="2"/>
    <x v="4"/>
    <s v="Desktop"/>
    <n v="6267"/>
    <n v="262"/>
    <n v="9"/>
    <n v="1209.31"/>
    <n v="1903.92"/>
    <n v="4.1806286899632998E-2"/>
    <n v="3.4351145038167941E-2"/>
    <n v="134.36777777777777"/>
    <n v="694.61000000000013"/>
    <n v="0.57438539332346561"/>
  </r>
  <r>
    <d v="2025-01-26T00:00:00"/>
    <x v="299"/>
    <x v="16"/>
    <x v="2"/>
    <x v="2"/>
    <x v="1"/>
    <s v="Desktop"/>
    <n v="3391"/>
    <n v="175"/>
    <n v="7"/>
    <n v="792.35"/>
    <n v="963.68"/>
    <n v="5.1607195517546445E-2"/>
    <n v="0.04"/>
    <n v="113.19285714285715"/>
    <n v="171.32999999999993"/>
    <n v="0.21623020129993048"/>
  </r>
  <r>
    <d v="2025-01-26T00:00:00"/>
    <x v="300"/>
    <x v="19"/>
    <x v="4"/>
    <x v="0"/>
    <x v="2"/>
    <s v="Desktop"/>
    <n v="2289"/>
    <n v="243"/>
    <n v="29"/>
    <n v="52.89"/>
    <n v="4068.17"/>
    <n v="0.10615989515072084"/>
    <n v="0.11934156378600823"/>
    <n v="1.8237931034482759"/>
    <n v="4015.28"/>
    <n v="75.917564757042925"/>
  </r>
  <r>
    <d v="2025-01-26T00:00:00"/>
    <x v="301"/>
    <x v="0"/>
    <x v="0"/>
    <x v="0"/>
    <x v="2"/>
    <s v="Mobile"/>
    <n v="5675"/>
    <n v="201"/>
    <n v="6"/>
    <n v="305.76"/>
    <n v="594.80999999999995"/>
    <n v="3.5418502202643171E-2"/>
    <n v="2.9850746268656716E-2"/>
    <n v="50.96"/>
    <n v="289.04999999999995"/>
    <n v="0.94534929356357911"/>
  </r>
  <r>
    <d v="2025-01-26T00:00:00"/>
    <x v="302"/>
    <x v="7"/>
    <x v="2"/>
    <x v="0"/>
    <x v="1"/>
    <s v="Mobile"/>
    <n v="2749"/>
    <n v="82"/>
    <n v="2"/>
    <n v="351.52"/>
    <n v="293.02999999999997"/>
    <n v="2.9829028737722807E-2"/>
    <n v="2.4390243902439025E-2"/>
    <n v="175.76"/>
    <n v="-58.490000000000009"/>
    <n v="-0.16639167045971784"/>
  </r>
  <r>
    <d v="2025-01-26T00:00:00"/>
    <x v="303"/>
    <x v="10"/>
    <x v="3"/>
    <x v="0"/>
    <x v="0"/>
    <s v="Mobile"/>
    <n v="17861"/>
    <n v="419"/>
    <n v="3"/>
    <n v="441.49"/>
    <n v="133.09"/>
    <n v="2.3458932870499973E-2"/>
    <n v="7.1599045346062056E-3"/>
    <n v="147.16333333333333"/>
    <n v="-308.39999999999998"/>
    <n v="-0.69854356837074449"/>
  </r>
  <r>
    <d v="2025-01-26T00:00:00"/>
    <x v="304"/>
    <x v="6"/>
    <x v="3"/>
    <x v="0"/>
    <x v="1"/>
    <s v="Desktop"/>
    <n v="18541"/>
    <n v="189"/>
    <n v="2"/>
    <n v="176.48"/>
    <n v="121.05"/>
    <n v="1.0193624939323661E-2"/>
    <n v="1.0582010582010581E-2"/>
    <n v="88.24"/>
    <n v="-55.429999999999993"/>
    <n v="-0.31408658204895734"/>
  </r>
  <r>
    <d v="2025-01-26T00:00:00"/>
    <x v="305"/>
    <x v="10"/>
    <x v="3"/>
    <x v="1"/>
    <x v="0"/>
    <s v="Mobile"/>
    <n v="15745"/>
    <n v="265"/>
    <n v="1"/>
    <n v="302.88"/>
    <n v="59.56"/>
    <n v="1.6830739917434105E-2"/>
    <n v="3.7735849056603774E-3"/>
    <n v="302.88"/>
    <n v="-243.32"/>
    <n v="-0.80335446381405173"/>
  </r>
  <r>
    <d v="2025-01-26T00:00:00"/>
    <x v="306"/>
    <x v="10"/>
    <x v="3"/>
    <x v="0"/>
    <x v="3"/>
    <s v="Mobile"/>
    <n v="32722"/>
    <n v="1093"/>
    <n v="8"/>
    <n v="975.52"/>
    <n v="508.73"/>
    <n v="3.3402603752826845E-2"/>
    <n v="7.319304666056725E-3"/>
    <n v="121.94"/>
    <n v="-466.78999999999996"/>
    <n v="-0.47850377234705588"/>
  </r>
  <r>
    <d v="2025-01-26T00:00:00"/>
    <x v="307"/>
    <x v="15"/>
    <x v="1"/>
    <x v="2"/>
    <x v="1"/>
    <s v="Mobile"/>
    <n v="18355"/>
    <n v="588"/>
    <n v="24"/>
    <n v="1017.92"/>
    <n v="2326.39"/>
    <n v="3.2034867883410513E-2"/>
    <n v="4.0816326530612242E-2"/>
    <n v="42.413333333333334"/>
    <n v="1308.4699999999998"/>
    <n v="1.2854350047154981"/>
  </r>
  <r>
    <d v="2025-01-26T00:00:00"/>
    <x v="308"/>
    <x v="15"/>
    <x v="1"/>
    <x v="0"/>
    <x v="3"/>
    <s v="Mobile"/>
    <n v="10192"/>
    <n v="474"/>
    <n v="9"/>
    <n v="647.52"/>
    <n v="541.30999999999995"/>
    <n v="4.6507064364207221E-2"/>
    <n v="1.8987341772151899E-2"/>
    <n v="71.946666666666658"/>
    <n v="-106.21000000000004"/>
    <n v="-0.16402582159624418"/>
  </r>
  <r>
    <d v="2025-01-26T00:00:00"/>
    <x v="309"/>
    <x v="1"/>
    <x v="0"/>
    <x v="2"/>
    <x v="4"/>
    <s v="Mobile"/>
    <n v="12545"/>
    <n v="700"/>
    <n v="34"/>
    <n v="1530.19"/>
    <n v="3042.86"/>
    <n v="5.5799123156636113E-2"/>
    <n v="4.8571428571428571E-2"/>
    <n v="45.00558823529412"/>
    <n v="1512.67"/>
    <n v="0.98855044144844761"/>
  </r>
  <r>
    <d v="2025-01-27T00:00:00"/>
    <x v="310"/>
    <x v="17"/>
    <x v="0"/>
    <x v="0"/>
    <x v="1"/>
    <s v="Mobile"/>
    <n v="6838"/>
    <n v="195"/>
    <n v="6"/>
    <n v="360.82"/>
    <n v="479.43"/>
    <n v="2.8517110266159697E-2"/>
    <n v="3.0769230769230771E-2"/>
    <n v="60.136666666666663"/>
    <n v="118.61000000000001"/>
    <n v="0.32872346322265955"/>
  </r>
  <r>
    <d v="2025-01-27T00:00:00"/>
    <x v="311"/>
    <x v="12"/>
    <x v="0"/>
    <x v="0"/>
    <x v="2"/>
    <s v="Mobile"/>
    <n v="14866"/>
    <n v="925"/>
    <n v="37"/>
    <n v="1414.39"/>
    <n v="4144.75"/>
    <n v="6.2222521189291002E-2"/>
    <n v="0.04"/>
    <n v="38.226756756756757"/>
    <n v="2730.3599999999997"/>
    <n v="1.9304152320081445"/>
  </r>
  <r>
    <d v="2025-01-27T00:00:00"/>
    <x v="312"/>
    <x v="19"/>
    <x v="4"/>
    <x v="1"/>
    <x v="3"/>
    <s v="Mobile"/>
    <n v="2899"/>
    <n v="247"/>
    <n v="18"/>
    <n v="85.64"/>
    <n v="2481.34"/>
    <n v="8.520179372197309E-2"/>
    <n v="7.28744939271255E-2"/>
    <n v="4.7577777777777781"/>
    <n v="2395.7000000000003"/>
    <n v="27.974077533862683"/>
  </r>
  <r>
    <d v="2025-01-27T00:00:00"/>
    <x v="313"/>
    <x v="7"/>
    <x v="2"/>
    <x v="1"/>
    <x v="2"/>
    <s v="Mobile"/>
    <n v="6688"/>
    <n v="304"/>
    <n v="6"/>
    <n v="2132.58"/>
    <n v="573.83000000000004"/>
    <n v="4.5454545454545456E-2"/>
    <n v="1.9736842105263157E-2"/>
    <n v="355.43"/>
    <n v="-1558.75"/>
    <n v="-0.73092216939106625"/>
  </r>
  <r>
    <d v="2025-01-27T00:00:00"/>
    <x v="314"/>
    <x v="7"/>
    <x v="2"/>
    <x v="0"/>
    <x v="2"/>
    <s v="Mobile"/>
    <n v="4806"/>
    <n v="121"/>
    <n v="1"/>
    <n v="808.79"/>
    <n v="196.88"/>
    <n v="2.5176862255513941E-2"/>
    <n v="8.2644628099173556E-3"/>
    <n v="808.79"/>
    <n v="-611.91"/>
    <n v="-0.75657463618491816"/>
  </r>
  <r>
    <d v="2025-01-27T00:00:00"/>
    <x v="315"/>
    <x v="5"/>
    <x v="4"/>
    <x v="2"/>
    <x v="4"/>
    <s v="Mobile"/>
    <n v="3884"/>
    <n v="501"/>
    <n v="79"/>
    <n v="154.59"/>
    <n v="6886.5"/>
    <n v="0.12899073120494337"/>
    <n v="0.15768463073852296"/>
    <n v="1.9568354430379746"/>
    <n v="6731.91"/>
    <n v="43.546865903357265"/>
  </r>
  <r>
    <d v="2025-01-28T00:00:00"/>
    <x v="316"/>
    <x v="11"/>
    <x v="1"/>
    <x v="1"/>
    <x v="1"/>
    <s v="Mobile"/>
    <n v="13671"/>
    <n v="549"/>
    <n v="8"/>
    <n v="592.26"/>
    <n v="685.52"/>
    <n v="4.0157998683344305E-2"/>
    <n v="1.4571948998178506E-2"/>
    <n v="74.032499999999999"/>
    <n v="93.259999999999991"/>
    <n v="0.15746462702191605"/>
  </r>
  <r>
    <d v="2025-01-28T00:00:00"/>
    <x v="317"/>
    <x v="19"/>
    <x v="4"/>
    <x v="0"/>
    <x v="4"/>
    <s v="Mobile"/>
    <n v="1242"/>
    <n v="114"/>
    <n v="8"/>
    <n v="37.520000000000003"/>
    <n v="895.06"/>
    <n v="9.1787439613526575E-2"/>
    <n v="7.0175438596491224E-2"/>
    <n v="4.6900000000000004"/>
    <n v="857.54"/>
    <n v="22.855543710021319"/>
  </r>
  <r>
    <d v="2025-01-28T00:00:00"/>
    <x v="318"/>
    <x v="19"/>
    <x v="4"/>
    <x v="0"/>
    <x v="3"/>
    <s v="Mobile"/>
    <n v="2813"/>
    <n v="402"/>
    <n v="39"/>
    <n v="181.35"/>
    <n v="4596.54"/>
    <n v="0.14290792747955919"/>
    <n v="9.7014925373134331E-2"/>
    <n v="4.6499999999999995"/>
    <n v="4415.1899999999996"/>
    <n v="24.346236559139783"/>
  </r>
  <r>
    <d v="2025-01-28T00:00:00"/>
    <x v="319"/>
    <x v="8"/>
    <x v="3"/>
    <x v="0"/>
    <x v="2"/>
    <s v="Desktop"/>
    <n v="29880"/>
    <n v="831"/>
    <n v="13"/>
    <n v="968.04"/>
    <n v="871.66"/>
    <n v="2.7811244979919679E-2"/>
    <n v="1.5643802647412757E-2"/>
    <n v="74.464615384615385"/>
    <n v="-96.38"/>
    <n v="-9.9562001570183051E-2"/>
  </r>
  <r>
    <d v="2025-01-28T00:00:00"/>
    <x v="320"/>
    <x v="18"/>
    <x v="4"/>
    <x v="0"/>
    <x v="3"/>
    <s v="Mobile"/>
    <n v="2195"/>
    <n v="243"/>
    <n v="30"/>
    <n v="63.56"/>
    <n v="4399.82"/>
    <n v="0.11070615034168566"/>
    <n v="0.12345679012345678"/>
    <n v="2.1186666666666669"/>
    <n v="4336.2599999999993"/>
    <n v="68.223096286972932"/>
  </r>
  <r>
    <d v="2025-01-28T00:00:00"/>
    <x v="321"/>
    <x v="17"/>
    <x v="0"/>
    <x v="0"/>
    <x v="4"/>
    <s v="Mobile"/>
    <n v="10871"/>
    <n v="635"/>
    <n v="20"/>
    <n v="968.29"/>
    <n v="1678.26"/>
    <n v="5.8412289577775736E-2"/>
    <n v="3.1496062992125984E-2"/>
    <n v="48.414499999999997"/>
    <n v="709.97"/>
    <n v="0.73322041950242189"/>
  </r>
  <r>
    <d v="2025-01-28T00:00:00"/>
    <x v="322"/>
    <x v="7"/>
    <x v="2"/>
    <x v="0"/>
    <x v="2"/>
    <s v="Mobile"/>
    <n v="2098"/>
    <n v="79"/>
    <n v="1"/>
    <n v="386.07"/>
    <n v="22.11"/>
    <n v="3.7654909437559579E-2"/>
    <n v="1.2658227848101266E-2"/>
    <n v="386.07"/>
    <n v="-363.96"/>
    <n v="-0.94273059289766103"/>
  </r>
  <r>
    <d v="2025-01-28T00:00:00"/>
    <x v="323"/>
    <x v="8"/>
    <x v="3"/>
    <x v="0"/>
    <x v="3"/>
    <s v="Mobile"/>
    <n v="16123"/>
    <n v="519"/>
    <n v="5"/>
    <n v="813.41"/>
    <n v="234.98"/>
    <n v="3.2190039074613909E-2"/>
    <n v="9.6339113680154135E-3"/>
    <n v="162.68199999999999"/>
    <n v="-578.42999999999995"/>
    <n v="-0.71111739467181367"/>
  </r>
  <r>
    <d v="2025-01-28T00:00:00"/>
    <x v="324"/>
    <x v="0"/>
    <x v="0"/>
    <x v="1"/>
    <x v="4"/>
    <s v="Desktop"/>
    <n v="10540"/>
    <n v="268"/>
    <n v="7"/>
    <n v="638.71"/>
    <n v="740.97"/>
    <n v="2.5426944971537004E-2"/>
    <n v="2.6119402985074626E-2"/>
    <n v="91.244285714285724"/>
    <n v="102.25999999999999"/>
    <n v="0.16010395954345474"/>
  </r>
  <r>
    <d v="2025-01-28T00:00:00"/>
    <x v="325"/>
    <x v="8"/>
    <x v="3"/>
    <x v="0"/>
    <x v="3"/>
    <s v="Mobile"/>
    <n v="19751"/>
    <n v="622"/>
    <n v="9"/>
    <n v="545.34"/>
    <n v="595.34"/>
    <n v="3.149207635056453E-2"/>
    <n v="1.4469453376205787E-2"/>
    <n v="60.593333333333334"/>
    <n v="50"/>
    <n v="9.1685920710015759E-2"/>
  </r>
  <r>
    <d v="2025-01-28T00:00:00"/>
    <x v="326"/>
    <x v="7"/>
    <x v="2"/>
    <x v="0"/>
    <x v="0"/>
    <s v="Mobile"/>
    <n v="3951"/>
    <n v="137"/>
    <n v="4"/>
    <n v="920.69"/>
    <n v="651.1"/>
    <n v="3.4674765882055175E-2"/>
    <n v="2.9197080291970802E-2"/>
    <n v="230.17250000000001"/>
    <n v="-269.59000000000003"/>
    <n v="-0.29281299894644236"/>
  </r>
  <r>
    <d v="2025-01-28T00:00:00"/>
    <x v="327"/>
    <x v="14"/>
    <x v="1"/>
    <x v="0"/>
    <x v="3"/>
    <s v="Mobile"/>
    <n v="18764"/>
    <n v="758"/>
    <n v="11"/>
    <n v="1581.77"/>
    <n v="1082.08"/>
    <n v="4.0396503943722017E-2"/>
    <n v="1.4511873350923483E-2"/>
    <n v="143.79727272727271"/>
    <n v="-499.69000000000005"/>
    <n v="-0.31590559942343077"/>
  </r>
  <r>
    <d v="2025-01-28T00:00:00"/>
    <x v="328"/>
    <x v="8"/>
    <x v="3"/>
    <x v="0"/>
    <x v="0"/>
    <s v="Mobile"/>
    <n v="16714"/>
    <n v="470"/>
    <n v="7"/>
    <n v="458.01"/>
    <n v="533.77"/>
    <n v="2.8120138805791551E-2"/>
    <n v="1.4893617021276596E-2"/>
    <n v="65.429999999999993"/>
    <n v="75.759999999999991"/>
    <n v="0.16541123556254228"/>
  </r>
  <r>
    <d v="2025-01-28T00:00:00"/>
    <x v="329"/>
    <x v="18"/>
    <x v="4"/>
    <x v="0"/>
    <x v="3"/>
    <s v="Mobile"/>
    <n v="3738"/>
    <n v="442"/>
    <n v="38"/>
    <n v="199.61"/>
    <n v="5383.56"/>
    <n v="0.11824505082932049"/>
    <n v="8.5972850678733032E-2"/>
    <n v="5.2528947368421059"/>
    <n v="5183.9500000000007"/>
    <n v="25.97039226491659"/>
  </r>
  <r>
    <d v="2025-01-28T00:00:00"/>
    <x v="330"/>
    <x v="18"/>
    <x v="4"/>
    <x v="0"/>
    <x v="0"/>
    <s v="Mobile"/>
    <n v="2225"/>
    <n v="203"/>
    <n v="17"/>
    <n v="45.09"/>
    <n v="2105"/>
    <n v="9.1235955056179777E-2"/>
    <n v="8.3743842364532015E-2"/>
    <n v="2.6523529411764706"/>
    <n v="2059.91"/>
    <n v="45.684408959858054"/>
  </r>
  <r>
    <d v="2025-01-28T00:00:00"/>
    <x v="331"/>
    <x v="12"/>
    <x v="0"/>
    <x v="2"/>
    <x v="3"/>
    <s v="Mobile"/>
    <n v="13214"/>
    <n v="562"/>
    <n v="22"/>
    <n v="1600.05"/>
    <n v="2563.9"/>
    <n v="4.253064931133646E-2"/>
    <n v="3.9145907473309607E-2"/>
    <n v="72.729545454545459"/>
    <n v="963.85000000000014"/>
    <n v="0.60238742539295653"/>
  </r>
  <r>
    <d v="2025-01-28T00:00:00"/>
    <x v="332"/>
    <x v="14"/>
    <x v="1"/>
    <x v="0"/>
    <x v="2"/>
    <s v="Mobile"/>
    <n v="19472"/>
    <n v="500"/>
    <n v="11"/>
    <n v="673.41"/>
    <n v="739.15"/>
    <n v="2.5677896466721445E-2"/>
    <n v="2.1999999999999999E-2"/>
    <n v="61.219090909090909"/>
    <n v="65.740000000000009"/>
    <n v="9.7622547927711217E-2"/>
  </r>
  <r>
    <d v="2025-01-28T00:00:00"/>
    <x v="333"/>
    <x v="8"/>
    <x v="3"/>
    <x v="0"/>
    <x v="3"/>
    <s v="Mobile"/>
    <n v="19074"/>
    <n v="473"/>
    <n v="3"/>
    <n v="574.03"/>
    <n v="215.52"/>
    <n v="2.4798154555940023E-2"/>
    <n v="6.3424947145877377E-3"/>
    <n v="191.34333333333333"/>
    <n v="-358.51"/>
    <n v="-0.62454923958678121"/>
  </r>
  <r>
    <d v="2025-01-28T00:00:00"/>
    <x v="334"/>
    <x v="6"/>
    <x v="3"/>
    <x v="0"/>
    <x v="3"/>
    <s v="Tablet"/>
    <n v="16781"/>
    <n v="330"/>
    <n v="2"/>
    <n v="486.92"/>
    <n v="121.61"/>
    <n v="1.9665097431619094E-2"/>
    <n v="6.0606060606060606E-3"/>
    <n v="243.46"/>
    <n v="-365.31"/>
    <n v="-0.75024644705495769"/>
  </r>
  <r>
    <d v="2025-01-29T00:00:00"/>
    <x v="335"/>
    <x v="5"/>
    <x v="4"/>
    <x v="0"/>
    <x v="3"/>
    <s v="Mobile"/>
    <n v="4059"/>
    <n v="645"/>
    <n v="90"/>
    <n v="332.21"/>
    <n v="7652.48"/>
    <n v="0.15890613451589061"/>
    <n v="0.13953488372093023"/>
    <n v="3.6912222222222222"/>
    <n v="7320.2699999999995"/>
    <n v="22.035068179765812"/>
  </r>
  <r>
    <d v="2025-01-29T00:00:00"/>
    <x v="336"/>
    <x v="14"/>
    <x v="1"/>
    <x v="0"/>
    <x v="0"/>
    <s v="Desktop"/>
    <n v="9292"/>
    <n v="305"/>
    <n v="5"/>
    <n v="397.22"/>
    <n v="480.32"/>
    <n v="3.2823934567369782E-2"/>
    <n v="1.6393442622950821E-2"/>
    <n v="79.444000000000003"/>
    <n v="83.099999999999966"/>
    <n v="0.20920396757464368"/>
  </r>
  <r>
    <d v="2025-01-29T00:00:00"/>
    <x v="337"/>
    <x v="5"/>
    <x v="4"/>
    <x v="2"/>
    <x v="1"/>
    <s v="Mobile"/>
    <n v="3029"/>
    <n v="425"/>
    <n v="61"/>
    <n v="138.16"/>
    <n v="9472.69"/>
    <n v="0.14031033344338065"/>
    <n v="0.14352941176470588"/>
    <n v="2.264918032786885"/>
    <n v="9334.5300000000007"/>
    <n v="67.563187608569777"/>
  </r>
  <r>
    <d v="2025-01-29T00:00:00"/>
    <x v="338"/>
    <x v="9"/>
    <x v="4"/>
    <x v="2"/>
    <x v="1"/>
    <s v="Mobile"/>
    <n v="1235"/>
    <n v="198"/>
    <n v="44"/>
    <n v="99.24"/>
    <n v="3914.68"/>
    <n v="0.16032388663967612"/>
    <n v="0.22222222222222221"/>
    <n v="2.2554545454545454"/>
    <n v="3815.44"/>
    <n v="38.446594115276099"/>
  </r>
  <r>
    <d v="2025-01-29T00:00:00"/>
    <x v="339"/>
    <x v="2"/>
    <x v="1"/>
    <x v="0"/>
    <x v="1"/>
    <s v="Mobile"/>
    <n v="13123"/>
    <n v="537"/>
    <n v="13"/>
    <n v="1085.6600000000001"/>
    <n v="751.1"/>
    <n v="4.0920521222281493E-2"/>
    <n v="2.4208566108007448E-2"/>
    <n v="83.512307692307701"/>
    <n v="-334.56000000000006"/>
    <n v="-0.30816277655988067"/>
  </r>
  <r>
    <d v="2025-01-29T00:00:00"/>
    <x v="340"/>
    <x v="0"/>
    <x v="0"/>
    <x v="2"/>
    <x v="2"/>
    <s v="Mobile"/>
    <n v="9229"/>
    <n v="636"/>
    <n v="37"/>
    <n v="1741.27"/>
    <n v="2824.25"/>
    <n v="6.8913208364936612E-2"/>
    <n v="5.8176100628930819E-2"/>
    <n v="47.061351351351348"/>
    <n v="1082.98"/>
    <n v="0.62194834804481791"/>
  </r>
  <r>
    <d v="2025-01-29T00:00:00"/>
    <x v="341"/>
    <x v="6"/>
    <x v="3"/>
    <x v="0"/>
    <x v="2"/>
    <s v="Mobile"/>
    <n v="24348"/>
    <n v="460"/>
    <n v="7"/>
    <n v="502.16"/>
    <n v="284.55"/>
    <n v="1.8892722194841467E-2"/>
    <n v="1.5217391304347827E-2"/>
    <n v="71.737142857142857"/>
    <n v="-217.61"/>
    <n v="-0.43334793691253787"/>
  </r>
  <r>
    <d v="2025-01-29T00:00:00"/>
    <x v="342"/>
    <x v="5"/>
    <x v="4"/>
    <x v="0"/>
    <x v="2"/>
    <s v="Desktop"/>
    <n v="1630"/>
    <n v="155"/>
    <n v="18"/>
    <n v="73.040000000000006"/>
    <n v="2804.83"/>
    <n v="9.5092024539877307E-2"/>
    <n v="0.11612903225806452"/>
    <n v="4.0577777777777779"/>
    <n v="2731.79"/>
    <n v="37.401286966046001"/>
  </r>
  <r>
    <d v="2025-01-29T00:00:00"/>
    <x v="343"/>
    <x v="16"/>
    <x v="2"/>
    <x v="2"/>
    <x v="4"/>
    <s v="Mobile"/>
    <n v="6214"/>
    <n v="233"/>
    <n v="6"/>
    <n v="1616.35"/>
    <n v="938.24"/>
    <n v="3.7495976826520762E-2"/>
    <n v="2.575107296137339E-2"/>
    <n v="269.39166666666665"/>
    <n v="-678.1099999999999"/>
    <n v="-0.41953166084078319"/>
  </r>
  <r>
    <d v="2025-01-29T00:00:00"/>
    <x v="344"/>
    <x v="19"/>
    <x v="4"/>
    <x v="0"/>
    <x v="1"/>
    <s v="Desktop"/>
    <n v="4630"/>
    <n v="391"/>
    <n v="63"/>
    <n v="144.59"/>
    <n v="6781.27"/>
    <n v="8.4449244060475159E-2"/>
    <n v="0.16112531969309463"/>
    <n v="2.2950793650793653"/>
    <n v="6636.68"/>
    <n v="45.899993083892383"/>
  </r>
  <r>
    <d v="2025-01-29T00:00:00"/>
    <x v="345"/>
    <x v="8"/>
    <x v="3"/>
    <x v="2"/>
    <x v="0"/>
    <s v="Desktop"/>
    <n v="23925"/>
    <n v="719"/>
    <n v="23"/>
    <n v="776.99"/>
    <n v="1263.1400000000001"/>
    <n v="3.0052246603970743E-2"/>
    <n v="3.1988873435326845E-2"/>
    <n v="33.782173913043479"/>
    <n v="486.15000000000009"/>
    <n v="0.62568372823331075"/>
  </r>
  <r>
    <d v="2025-01-29T00:00:00"/>
    <x v="346"/>
    <x v="18"/>
    <x v="4"/>
    <x v="2"/>
    <x v="3"/>
    <s v="Desktop"/>
    <n v="4822"/>
    <n v="580"/>
    <n v="85"/>
    <n v="141.96"/>
    <n v="7766.47"/>
    <n v="0.12028204064703442"/>
    <n v="0.14655172413793102"/>
    <n v="1.6701176470588237"/>
    <n v="7624.51"/>
    <n v="53.708861651169343"/>
  </r>
  <r>
    <d v="2025-01-29T00:00:00"/>
    <x v="347"/>
    <x v="11"/>
    <x v="1"/>
    <x v="0"/>
    <x v="4"/>
    <s v="Mobile"/>
    <n v="17654"/>
    <n v="614"/>
    <n v="20"/>
    <n v="847.08"/>
    <n v="1521.49"/>
    <n v="3.4779653336354369E-2"/>
    <n v="3.2573289902280131E-2"/>
    <n v="42.353999999999999"/>
    <n v="674.41"/>
    <n v="0.79615856825801568"/>
  </r>
  <r>
    <d v="2025-01-29T00:00:00"/>
    <x v="348"/>
    <x v="4"/>
    <x v="3"/>
    <x v="1"/>
    <x v="1"/>
    <s v="Mobile"/>
    <n v="31600"/>
    <n v="605"/>
    <n v="5"/>
    <n v="735.16"/>
    <n v="370.51"/>
    <n v="1.9145569620253166E-2"/>
    <n v="8.2644628099173556E-3"/>
    <n v="147.03199999999998"/>
    <n v="-364.65"/>
    <n v="-0.49601447303988244"/>
  </r>
  <r>
    <d v="2025-01-30T00:00:00"/>
    <x v="349"/>
    <x v="5"/>
    <x v="4"/>
    <x v="1"/>
    <x v="1"/>
    <s v="Desktop"/>
    <n v="3118"/>
    <n v="360"/>
    <n v="40"/>
    <n v="115.05"/>
    <n v="4528.18"/>
    <n v="0.11545862732520847"/>
    <n v="0.1111111111111111"/>
    <n v="2.8762499999999998"/>
    <n v="4413.13"/>
    <n v="38.358365927857456"/>
  </r>
  <r>
    <d v="2025-01-30T00:00:00"/>
    <x v="350"/>
    <x v="17"/>
    <x v="0"/>
    <x v="2"/>
    <x v="4"/>
    <s v="Mobile"/>
    <n v="8026"/>
    <n v="588"/>
    <n v="27"/>
    <n v="1448.39"/>
    <n v="2644.76"/>
    <n v="7.3261898828806377E-2"/>
    <n v="4.5918367346938778E-2"/>
    <n v="53.644074074074076"/>
    <n v="1196.3700000000001"/>
    <n v="0.82599990334095097"/>
  </r>
  <r>
    <d v="2025-01-30T00:00:00"/>
    <x v="351"/>
    <x v="15"/>
    <x v="1"/>
    <x v="0"/>
    <x v="4"/>
    <s v="Mobile"/>
    <n v="15310"/>
    <n v="528"/>
    <n v="11"/>
    <n v="489.38"/>
    <n v="1018.4"/>
    <n v="3.4487263226649252E-2"/>
    <n v="2.0833333333333332E-2"/>
    <n v="44.489090909090912"/>
    <n v="529.02"/>
    <n v="1.0810004495484082"/>
  </r>
  <r>
    <d v="2025-01-30T00:00:00"/>
    <x v="352"/>
    <x v="0"/>
    <x v="0"/>
    <x v="0"/>
    <x v="4"/>
    <s v="Tablet"/>
    <n v="9986"/>
    <n v="379"/>
    <n v="14"/>
    <n v="828.86"/>
    <n v="947.56"/>
    <n v="3.7953134388143399E-2"/>
    <n v="3.6939313984168866E-2"/>
    <n v="59.204285714285717"/>
    <n v="118.69999999999993"/>
    <n v="0.14320874454069435"/>
  </r>
  <r>
    <d v="2025-01-30T00:00:00"/>
    <x v="353"/>
    <x v="6"/>
    <x v="3"/>
    <x v="0"/>
    <x v="0"/>
    <s v="Desktop"/>
    <n v="27542"/>
    <n v="456"/>
    <n v="5"/>
    <n v="429.19"/>
    <n v="348.35"/>
    <n v="1.6556531842277251E-2"/>
    <n v="1.0964912280701754E-2"/>
    <n v="85.837999999999994"/>
    <n v="-80.839999999999975"/>
    <n v="-0.18835480789393969"/>
  </r>
  <r>
    <d v="2025-01-30T00:00:00"/>
    <x v="354"/>
    <x v="15"/>
    <x v="1"/>
    <x v="2"/>
    <x v="1"/>
    <s v="Mobile"/>
    <n v="8271"/>
    <n v="321"/>
    <n v="12"/>
    <n v="561.39"/>
    <n v="707.12"/>
    <n v="3.8810301051867974E-2"/>
    <n v="3.7383177570093455E-2"/>
    <n v="46.782499999999999"/>
    <n v="145.73000000000002"/>
    <n v="0.25958780883165006"/>
  </r>
  <r>
    <d v="2025-01-30T00:00:00"/>
    <x v="355"/>
    <x v="1"/>
    <x v="0"/>
    <x v="1"/>
    <x v="2"/>
    <s v="Mobile"/>
    <n v="10032"/>
    <n v="578"/>
    <n v="13"/>
    <n v="1535.72"/>
    <n v="1004.26"/>
    <n v="5.7615629984051037E-2"/>
    <n v="2.2491349480968859E-2"/>
    <n v="118.13230769230769"/>
    <n v="-531.46"/>
    <n v="-0.34606568905790119"/>
  </r>
  <r>
    <d v="2025-01-30T00:00:00"/>
    <x v="356"/>
    <x v="15"/>
    <x v="1"/>
    <x v="1"/>
    <x v="2"/>
    <s v="Mobile"/>
    <n v="13733"/>
    <n v="490"/>
    <n v="5"/>
    <n v="589.39"/>
    <n v="437.66"/>
    <n v="3.5680477681497125E-2"/>
    <n v="1.020408163265306E-2"/>
    <n v="117.878"/>
    <n v="-151.72999999999996"/>
    <n v="-0.25743565381156785"/>
  </r>
  <r>
    <d v="2025-01-30T00:00:00"/>
    <x v="357"/>
    <x v="15"/>
    <x v="1"/>
    <x v="1"/>
    <x v="2"/>
    <s v="Mobile"/>
    <n v="14164"/>
    <n v="401"/>
    <n v="5"/>
    <n v="785.77"/>
    <n v="320.41000000000003"/>
    <n v="2.831121152216888E-2"/>
    <n v="1.2468827930174564E-2"/>
    <n v="157.154"/>
    <n v="-465.35999999999996"/>
    <n v="-0.59223436883566438"/>
  </r>
  <r>
    <d v="2025-01-30T00:00:00"/>
    <x v="358"/>
    <x v="2"/>
    <x v="1"/>
    <x v="1"/>
    <x v="0"/>
    <s v="Mobile"/>
    <n v="17450"/>
    <n v="567"/>
    <n v="10"/>
    <n v="942"/>
    <n v="855.66"/>
    <n v="3.2492836676217766E-2"/>
    <n v="1.7636684303350969E-2"/>
    <n v="94.2"/>
    <n v="-86.340000000000032"/>
    <n v="-9.1656050955414042E-2"/>
  </r>
  <r>
    <d v="2025-01-30T00:00:00"/>
    <x v="359"/>
    <x v="8"/>
    <x v="3"/>
    <x v="1"/>
    <x v="1"/>
    <s v="Desktop"/>
    <n v="20435"/>
    <n v="388"/>
    <n v="3"/>
    <n v="422.95"/>
    <n v="59.4"/>
    <n v="1.8987032052850503E-2"/>
    <n v="7.7319587628865982E-3"/>
    <n v="140.98333333333332"/>
    <n v="-363.55"/>
    <n v="-0.85955786736020812"/>
  </r>
  <r>
    <d v="2025-01-30T00:00:00"/>
    <x v="360"/>
    <x v="8"/>
    <x v="3"/>
    <x v="1"/>
    <x v="0"/>
    <s v="Mobile"/>
    <n v="22130"/>
    <n v="539"/>
    <n v="5"/>
    <n v="420.75"/>
    <n v="307.36"/>
    <n v="2.4356077722548577E-2"/>
    <n v="9.2764378478664197E-3"/>
    <n v="84.15"/>
    <n v="-113.38999999999999"/>
    <n v="-0.26949494949494945"/>
  </r>
  <r>
    <d v="2025-01-30T00:00:00"/>
    <x v="361"/>
    <x v="13"/>
    <x v="2"/>
    <x v="2"/>
    <x v="4"/>
    <s v="Desktop"/>
    <n v="3611"/>
    <n v="145"/>
    <n v="5"/>
    <n v="663.91"/>
    <n v="1054.3599999999999"/>
    <n v="4.0155081694821376E-2"/>
    <n v="3.4482758620689655E-2"/>
    <n v="132.78199999999998"/>
    <n v="390.44999999999993"/>
    <n v="0.58810682170776152"/>
  </r>
  <r>
    <d v="2025-01-30T00:00:00"/>
    <x v="362"/>
    <x v="10"/>
    <x v="3"/>
    <x v="1"/>
    <x v="1"/>
    <s v="Mobile"/>
    <n v="24818"/>
    <n v="109"/>
    <n v="1"/>
    <n v="130.01"/>
    <n v="51.54"/>
    <n v="4.3919735675719239E-3"/>
    <n v="9.1743119266055051E-3"/>
    <n v="130.01"/>
    <n v="-78.47"/>
    <n v="-0.60356895623413587"/>
  </r>
  <r>
    <d v="2025-01-30T00:00:00"/>
    <x v="363"/>
    <x v="15"/>
    <x v="1"/>
    <x v="2"/>
    <x v="4"/>
    <s v="Mobile"/>
    <n v="10654"/>
    <n v="344"/>
    <n v="9"/>
    <n v="0"/>
    <n v="538.82000000000005"/>
    <n v="3.2288342406607849E-2"/>
    <n v="2.616279069767442E-2"/>
    <n v="0"/>
    <n v="538.82000000000005"/>
    <n v="0"/>
  </r>
  <r>
    <d v="2025-01-30T00:00:00"/>
    <x v="364"/>
    <x v="5"/>
    <x v="4"/>
    <x v="1"/>
    <x v="4"/>
    <s v="Desktop"/>
    <n v="3861"/>
    <n v="295"/>
    <n v="38"/>
    <n v="124.81"/>
    <n v="4097.7700000000004"/>
    <n v="7.6405076405076405E-2"/>
    <n v="0.12881355932203389"/>
    <n v="3.2844736842105262"/>
    <n v="3972.9600000000005"/>
    <n v="31.832064738402376"/>
  </r>
  <r>
    <d v="2025-01-30T00:00:00"/>
    <x v="365"/>
    <x v="15"/>
    <x v="1"/>
    <x v="0"/>
    <x v="2"/>
    <s v="Mobile"/>
    <n v="8149"/>
    <n v="270"/>
    <n v="6"/>
    <n v="488.68"/>
    <n v="421.95"/>
    <n v="3.3132899742299667E-2"/>
    <n v="2.2222222222222223E-2"/>
    <n v="81.446666666666673"/>
    <n v="-66.730000000000018"/>
    <n v="-0.13655152656134897"/>
  </r>
  <r>
    <d v="2025-01-30T00:00:00"/>
    <x v="366"/>
    <x v="16"/>
    <x v="2"/>
    <x v="1"/>
    <x v="2"/>
    <s v="Mobile"/>
    <n v="3224"/>
    <n v="68"/>
    <n v="1"/>
    <n v="404.55"/>
    <n v="141.61000000000001"/>
    <n v="2.1091811414392061E-2"/>
    <n v="1.4705882352941176E-2"/>
    <n v="404.55"/>
    <n v="-262.94"/>
    <n v="-0.64995674205907794"/>
  </r>
  <r>
    <d v="2025-01-31T00:00:00"/>
    <x v="367"/>
    <x v="7"/>
    <x v="2"/>
    <x v="1"/>
    <x v="0"/>
    <s v="Mobile"/>
    <n v="3324"/>
    <n v="116"/>
    <n v="1"/>
    <n v="484.81"/>
    <n v="24.81"/>
    <n v="3.4897713598074608E-2"/>
    <n v="8.6206896551724137E-3"/>
    <n v="484.81"/>
    <n v="-460"/>
    <n v="-0.94882531300922013"/>
  </r>
  <r>
    <d v="2025-01-31T00:00:00"/>
    <x v="368"/>
    <x v="1"/>
    <x v="0"/>
    <x v="2"/>
    <x v="3"/>
    <s v="Mobile"/>
    <n v="7651"/>
    <n v="341"/>
    <n v="24"/>
    <n v="838.86"/>
    <n v="2190.2800000000002"/>
    <n v="4.4569337341523983E-2"/>
    <n v="7.0381231671554259E-2"/>
    <n v="34.952500000000001"/>
    <n v="1351.42"/>
    <n v="1.6110197172352956"/>
  </r>
  <r>
    <d v="2025-01-31T00:00:00"/>
    <x v="369"/>
    <x v="16"/>
    <x v="2"/>
    <x v="0"/>
    <x v="0"/>
    <s v="Mobile"/>
    <n v="6650"/>
    <n v="146"/>
    <n v="1"/>
    <n v="1088.9000000000001"/>
    <n v="191.1"/>
    <n v="2.1954887218045113E-2"/>
    <n v="6.8493150684931503E-3"/>
    <n v="1088.9000000000001"/>
    <n v="-897.80000000000007"/>
    <n v="-0.82450179079805308"/>
  </r>
  <r>
    <d v="2025-01-31T00:00:00"/>
    <x v="370"/>
    <x v="4"/>
    <x v="3"/>
    <x v="0"/>
    <x v="1"/>
    <s v="Tablet"/>
    <n v="33371"/>
    <n v="787"/>
    <n v="10"/>
    <n v="757.78"/>
    <n v="568.29"/>
    <n v="2.3583350813580654E-2"/>
    <n v="1.2706480304955527E-2"/>
    <n v="75.777999999999992"/>
    <n v="-189.49"/>
    <n v="-0.25005938399007632"/>
  </r>
  <r>
    <d v="2025-01-31T00:00:00"/>
    <x v="371"/>
    <x v="4"/>
    <x v="3"/>
    <x v="0"/>
    <x v="4"/>
    <s v="Mobile"/>
    <n v="19407"/>
    <n v="354"/>
    <n v="5"/>
    <n v="291.82"/>
    <n v="330.71"/>
    <n v="1.8240840933683722E-2"/>
    <n v="1.4124293785310734E-2"/>
    <n v="58.363999999999997"/>
    <n v="38.889999999999986"/>
    <n v="0.13326708244808438"/>
  </r>
  <r>
    <d v="2025-01-31T00:00:00"/>
    <x v="372"/>
    <x v="10"/>
    <x v="3"/>
    <x v="2"/>
    <x v="2"/>
    <s v="Desktop"/>
    <n v="24188"/>
    <n v="414"/>
    <n v="7"/>
    <n v="408.89"/>
    <n v="601.61"/>
    <n v="1.7115925252191168E-2"/>
    <n v="1.6908212560386472E-2"/>
    <n v="58.412857142857142"/>
    <n v="192.72000000000003"/>
    <n v="0.47132480618259198"/>
  </r>
  <r>
    <d v="2025-01-31T00:00:00"/>
    <x v="373"/>
    <x v="2"/>
    <x v="1"/>
    <x v="1"/>
    <x v="1"/>
    <s v="Mobile"/>
    <n v="11337"/>
    <n v="214"/>
    <n v="3"/>
    <n v="280.3"/>
    <n v="148.94"/>
    <n v="1.8876245920437504E-2"/>
    <n v="1.4018691588785047E-2"/>
    <n v="93.433333333333337"/>
    <n v="-131.36000000000001"/>
    <n v="-0.4686407420620764"/>
  </r>
  <r>
    <d v="2025-01-31T00:00:00"/>
    <x v="374"/>
    <x v="3"/>
    <x v="2"/>
    <x v="1"/>
    <x v="3"/>
    <s v="Mobile"/>
    <n v="5590"/>
    <n v="143"/>
    <n v="1"/>
    <n v="936.97"/>
    <n v="164.87"/>
    <n v="2.5581395348837209E-2"/>
    <n v="6.993006993006993E-3"/>
    <n v="936.97"/>
    <n v="-772.1"/>
    <n v="-0.8240391901555012"/>
  </r>
  <r>
    <d v="2025-01-31T00:00:00"/>
    <x v="375"/>
    <x v="2"/>
    <x v="1"/>
    <x v="2"/>
    <x v="3"/>
    <s v="Mobile"/>
    <n v="18499"/>
    <n v="603"/>
    <n v="21"/>
    <n v="1017.25"/>
    <n v="1214.01"/>
    <n v="3.2596356559814042E-2"/>
    <n v="3.482587064676617E-2"/>
    <n v="48.44047619047619"/>
    <n v="196.76"/>
    <n v="0.19342344556402064"/>
  </r>
  <r>
    <d v="2025-01-31T00:00:00"/>
    <x v="376"/>
    <x v="3"/>
    <x v="2"/>
    <x v="0"/>
    <x v="4"/>
    <s v="Mobile"/>
    <n v="2236"/>
    <n v="52"/>
    <n v="1"/>
    <n v="369.97"/>
    <n v="193.69"/>
    <n v="2.3255813953488372E-2"/>
    <n v="1.9230769230769232E-2"/>
    <n v="369.97"/>
    <n v="-176.28000000000003"/>
    <n v="-0.47647106522150451"/>
  </r>
  <r>
    <d v="2025-01-31T00:00:00"/>
    <x v="377"/>
    <x v="19"/>
    <x v="4"/>
    <x v="2"/>
    <x v="2"/>
    <s v="Desktop"/>
    <n v="3243"/>
    <n v="485"/>
    <n v="117"/>
    <n v="110.23"/>
    <n v="19034.13"/>
    <n v="0.14955288313290163"/>
    <n v="0.24123711340206186"/>
    <n v="0.94213675213675219"/>
    <n v="18923.900000000001"/>
    <n v="171.67649460219542"/>
  </r>
  <r>
    <d v="2025-01-31T00:00:00"/>
    <x v="378"/>
    <x v="2"/>
    <x v="1"/>
    <x v="0"/>
    <x v="3"/>
    <s v="Mobile"/>
    <n v="12330"/>
    <n v="317"/>
    <n v="4"/>
    <n v="588.63"/>
    <n v="262.77"/>
    <n v="2.5709651257096514E-2"/>
    <n v="1.2618296529968454E-2"/>
    <n v="147.1575"/>
    <n v="-325.86"/>
    <n v="-0.55359054074715863"/>
  </r>
  <r>
    <d v="2025-01-31T00:00:00"/>
    <x v="379"/>
    <x v="1"/>
    <x v="0"/>
    <x v="2"/>
    <x v="3"/>
    <s v="Mobile"/>
    <n v="14646"/>
    <n v="717"/>
    <n v="35"/>
    <n v="2024.46"/>
    <n v="3906.93"/>
    <n v="4.895534616960262E-2"/>
    <n v="4.8814504881450491E-2"/>
    <n v="57.841714285714289"/>
    <n v="1882.4699999999998"/>
    <n v="0.92986277822234065"/>
  </r>
  <r>
    <d v="2025-01-31T00:00:00"/>
    <x v="380"/>
    <x v="2"/>
    <x v="1"/>
    <x v="1"/>
    <x v="1"/>
    <s v="Tablet"/>
    <n v="13922"/>
    <n v="394"/>
    <n v="7"/>
    <n v="498.64"/>
    <n v="364.15"/>
    <n v="2.8300531532825742E-2"/>
    <n v="1.7766497461928935E-2"/>
    <n v="71.234285714285718"/>
    <n v="-134.49"/>
    <n v="-0.269713621049254"/>
  </r>
  <r>
    <d v="2025-01-31T00:00:00"/>
    <x v="381"/>
    <x v="13"/>
    <x v="2"/>
    <x v="1"/>
    <x v="4"/>
    <s v="Mobile"/>
    <n v="5195"/>
    <n v="238"/>
    <n v="2"/>
    <n v="1605.27"/>
    <n v="247.61"/>
    <n v="4.5813282001924929E-2"/>
    <n v="8.4033613445378148E-3"/>
    <n v="802.63499999999999"/>
    <n v="-1357.6599999999999"/>
    <n v="-0.84575180499230651"/>
  </r>
  <r>
    <d v="2025-01-31T00:00:00"/>
    <x v="382"/>
    <x v="11"/>
    <x v="1"/>
    <x v="0"/>
    <x v="4"/>
    <s v="Mobile"/>
    <n v="9569"/>
    <n v="373"/>
    <n v="8"/>
    <n v="588.03"/>
    <n v="797.12"/>
    <n v="3.8980039711568604E-2"/>
    <n v="2.1447721179624665E-2"/>
    <n v="73.503749999999997"/>
    <n v="209.09000000000003"/>
    <n v="0.35557709640664598"/>
  </r>
  <r>
    <d v="2025-02-01T00:00:00"/>
    <x v="383"/>
    <x v="12"/>
    <x v="0"/>
    <x v="2"/>
    <x v="2"/>
    <s v="Desktop"/>
    <n v="6368"/>
    <n v="347"/>
    <n v="16"/>
    <n v="997.42"/>
    <n v="1392.68"/>
    <n v="5.449120603015075E-2"/>
    <n v="4.6109510086455328E-2"/>
    <n v="62.338749999999997"/>
    <n v="395.2600000000001"/>
    <n v="0.39628240861422481"/>
  </r>
  <r>
    <d v="2025-02-01T00:00:00"/>
    <x v="384"/>
    <x v="12"/>
    <x v="0"/>
    <x v="2"/>
    <x v="2"/>
    <s v="Mobile"/>
    <n v="6312"/>
    <n v="398"/>
    <n v="17"/>
    <n v="752.34"/>
    <n v="1147.67"/>
    <n v="6.3054499366286432E-2"/>
    <n v="4.2713567839195977E-2"/>
    <n v="44.255294117647061"/>
    <n v="395.33000000000004"/>
    <n v="0.5254672089746657"/>
  </r>
  <r>
    <d v="2025-02-01T00:00:00"/>
    <x v="385"/>
    <x v="2"/>
    <x v="1"/>
    <x v="2"/>
    <x v="1"/>
    <s v="Desktop"/>
    <n v="11938"/>
    <n v="490"/>
    <n v="20"/>
    <n v="835.44"/>
    <n v="1675.86"/>
    <n v="4.1045401239738648E-2"/>
    <n v="4.0816326530612242E-2"/>
    <n v="41.772000000000006"/>
    <n v="840.41999999999985"/>
    <n v="1.0059609307670208"/>
  </r>
  <r>
    <d v="2025-02-01T00:00:00"/>
    <x v="386"/>
    <x v="4"/>
    <x v="3"/>
    <x v="0"/>
    <x v="1"/>
    <s v="Tablet"/>
    <n v="21259"/>
    <n v="514"/>
    <n v="8"/>
    <n v="690.98"/>
    <n v="636.85"/>
    <n v="2.4177995202032079E-2"/>
    <n v="1.556420233463035E-2"/>
    <n v="86.372500000000002"/>
    <n v="-54.129999999999995"/>
    <n v="-7.8338012677646229E-2"/>
  </r>
  <r>
    <d v="2025-02-01T00:00:00"/>
    <x v="387"/>
    <x v="4"/>
    <x v="3"/>
    <x v="0"/>
    <x v="2"/>
    <s v="Mobile"/>
    <n v="21984"/>
    <n v="339"/>
    <n v="1"/>
    <n v="342.04"/>
    <n v="43.59"/>
    <n v="1.5420305676855895E-2"/>
    <n v="2.9498525073746312E-3"/>
    <n v="342.04"/>
    <n v="-298.45000000000005"/>
    <n v="-0.87255876505671859"/>
  </r>
  <r>
    <d v="2025-02-01T00:00:00"/>
    <x v="388"/>
    <x v="2"/>
    <x v="1"/>
    <x v="0"/>
    <x v="1"/>
    <s v="Desktop"/>
    <n v="10044"/>
    <n v="386"/>
    <n v="7"/>
    <n v="746.9"/>
    <n v="450.7"/>
    <n v="3.8430904022301871E-2"/>
    <n v="1.8134715025906734E-2"/>
    <n v="106.7"/>
    <n v="-296.2"/>
    <n v="-0.39657249966528318"/>
  </r>
  <r>
    <d v="2025-02-01T00:00:00"/>
    <x v="389"/>
    <x v="19"/>
    <x v="4"/>
    <x v="0"/>
    <x v="1"/>
    <s v="Desktop"/>
    <n v="1429"/>
    <n v="129"/>
    <n v="13"/>
    <n v="31.82"/>
    <n v="1281.17"/>
    <n v="9.0272918124562632E-2"/>
    <n v="0.10077519379844961"/>
    <n v="2.4476923076923076"/>
    <n v="1249.3500000000001"/>
    <n v="39.263042111879322"/>
  </r>
  <r>
    <d v="2025-02-01T00:00:00"/>
    <x v="390"/>
    <x v="7"/>
    <x v="2"/>
    <x v="0"/>
    <x v="2"/>
    <s v="Mobile"/>
    <n v="6119"/>
    <n v="135"/>
    <n v="3"/>
    <n v="748.58"/>
    <n v="571.16"/>
    <n v="2.2062428501389116E-2"/>
    <n v="2.2222222222222223E-2"/>
    <n v="249.52666666666667"/>
    <n v="-177.42000000000007"/>
    <n v="-0.23700873654118473"/>
  </r>
  <r>
    <d v="2025-02-01T00:00:00"/>
    <x v="391"/>
    <x v="14"/>
    <x v="1"/>
    <x v="2"/>
    <x v="0"/>
    <s v="Desktop"/>
    <n v="15888"/>
    <n v="585"/>
    <n v="30"/>
    <n v="611.99"/>
    <n v="2105.48"/>
    <n v="3.6820241691842899E-2"/>
    <n v="5.128205128205128E-2"/>
    <n v="20.399666666666668"/>
    <n v="1493.49"/>
    <n v="2.4403830127943267"/>
  </r>
  <r>
    <d v="2025-02-01T00:00:00"/>
    <x v="392"/>
    <x v="10"/>
    <x v="3"/>
    <x v="0"/>
    <x v="3"/>
    <s v="Mobile"/>
    <n v="20708"/>
    <n v="606"/>
    <n v="7"/>
    <n v="667.94"/>
    <n v="360.79"/>
    <n v="2.9264052540081128E-2"/>
    <n v="1.155115511551155E-2"/>
    <n v="95.42"/>
    <n v="-307.15000000000003"/>
    <n v="-0.45984669281672008"/>
  </r>
  <r>
    <d v="2025-02-01T00:00:00"/>
    <x v="393"/>
    <x v="7"/>
    <x v="2"/>
    <x v="0"/>
    <x v="1"/>
    <s v="Mobile"/>
    <n v="5533"/>
    <n v="226"/>
    <n v="2"/>
    <n v="1753.62"/>
    <n v="221.98"/>
    <n v="4.0845834086390746E-2"/>
    <n v="8.8495575221238937E-3"/>
    <n v="876.81"/>
    <n v="-1531.6399999999999"/>
    <n v="-0.87341613348387903"/>
  </r>
  <r>
    <d v="2025-02-02T00:00:00"/>
    <x v="394"/>
    <x v="7"/>
    <x v="2"/>
    <x v="0"/>
    <x v="2"/>
    <s v="Mobile"/>
    <n v="5620"/>
    <n v="172"/>
    <n v="3"/>
    <n v="1258.17"/>
    <n v="373.07"/>
    <n v="3.0604982206405694E-2"/>
    <n v="1.7441860465116279E-2"/>
    <n v="419.39000000000004"/>
    <n v="-885.10000000000014"/>
    <n v="-0.70348204137755632"/>
  </r>
  <r>
    <d v="2025-02-02T00:00:00"/>
    <x v="395"/>
    <x v="1"/>
    <x v="0"/>
    <x v="1"/>
    <x v="2"/>
    <s v="Desktop"/>
    <n v="5515"/>
    <n v="248"/>
    <n v="8"/>
    <n v="706.28"/>
    <n v="617.88"/>
    <n v="4.4968268359020853E-2"/>
    <n v="3.2258064516129031E-2"/>
    <n v="88.284999999999997"/>
    <n v="-88.399999999999977"/>
    <n v="-0.12516282494194933"/>
  </r>
  <r>
    <d v="2025-02-02T00:00:00"/>
    <x v="396"/>
    <x v="13"/>
    <x v="2"/>
    <x v="2"/>
    <x v="3"/>
    <s v="Mobile"/>
    <n v="4490"/>
    <n v="191"/>
    <n v="5"/>
    <n v="1530.42"/>
    <n v="1002.02"/>
    <n v="4.2538975501113588E-2"/>
    <n v="2.6178010471204188E-2"/>
    <n v="306.084"/>
    <n v="-528.40000000000009"/>
    <n v="-0.34526469857947495"/>
  </r>
  <r>
    <d v="2025-02-02T00:00:00"/>
    <x v="397"/>
    <x v="3"/>
    <x v="2"/>
    <x v="1"/>
    <x v="4"/>
    <s v="Mobile"/>
    <n v="5994"/>
    <n v="273"/>
    <n v="3"/>
    <n v="1598.47"/>
    <n v="544.30999999999995"/>
    <n v="4.5545545545545546E-2"/>
    <n v="1.098901098901099E-2"/>
    <n v="532.82333333333338"/>
    <n v="-1054.1600000000001"/>
    <n v="-0.65948062835086052"/>
  </r>
  <r>
    <d v="2025-02-03T00:00:00"/>
    <x v="398"/>
    <x v="14"/>
    <x v="1"/>
    <x v="0"/>
    <x v="1"/>
    <s v="Desktop"/>
    <n v="16254"/>
    <n v="289"/>
    <n v="7"/>
    <n v="344.6"/>
    <n v="570.64"/>
    <n v="1.7780238710471269E-2"/>
    <n v="2.4221453287197232E-2"/>
    <n v="49.228571428571435"/>
    <n v="226.03999999999996"/>
    <n v="0.65594892629135215"/>
  </r>
  <r>
    <d v="2025-02-03T00:00:00"/>
    <x v="399"/>
    <x v="5"/>
    <x v="4"/>
    <x v="0"/>
    <x v="0"/>
    <s v="Desktop"/>
    <n v="1630"/>
    <n v="135"/>
    <n v="21"/>
    <n v="48.34"/>
    <n v="2958.44"/>
    <n v="8.2822085889570546E-2"/>
    <n v="0.15555555555555556"/>
    <n v="2.3019047619047619"/>
    <n v="2910.1"/>
    <n v="60.20066197765825"/>
  </r>
  <r>
    <d v="2025-02-03T00:00:00"/>
    <x v="400"/>
    <x v="13"/>
    <x v="2"/>
    <x v="0"/>
    <x v="2"/>
    <s v="Desktop"/>
    <n v="2645"/>
    <n v="103"/>
    <n v="2"/>
    <n v="748.65"/>
    <n v="296.95"/>
    <n v="3.8941398865784502E-2"/>
    <n v="1.9417475728155338E-2"/>
    <n v="374.32499999999999"/>
    <n v="-451.7"/>
    <n v="-0.60335270152941967"/>
  </r>
  <r>
    <d v="2025-02-03T00:00:00"/>
    <x v="401"/>
    <x v="4"/>
    <x v="3"/>
    <x v="0"/>
    <x v="0"/>
    <s v="Mobile"/>
    <n v="37270"/>
    <n v="1206"/>
    <n v="24"/>
    <n v="1022.16"/>
    <n v="1724.18"/>
    <n v="3.2358465253555138E-2"/>
    <n v="1.9900497512437811E-2"/>
    <n v="42.589999999999996"/>
    <n v="702.0200000000001"/>
    <n v="0.68680050090005496"/>
  </r>
  <r>
    <d v="2025-02-03T00:00:00"/>
    <x v="402"/>
    <x v="11"/>
    <x v="1"/>
    <x v="2"/>
    <x v="0"/>
    <s v="Mobile"/>
    <n v="16449"/>
    <n v="555"/>
    <n v="16"/>
    <n v="942.1"/>
    <n v="1603.54"/>
    <n v="3.3740652927229615E-2"/>
    <n v="2.8828828828828829E-2"/>
    <n v="58.881250000000001"/>
    <n v="661.43999999999994"/>
    <n v="0.70209107313448671"/>
  </r>
  <r>
    <d v="2025-02-03T00:00:00"/>
    <x v="403"/>
    <x v="7"/>
    <x v="2"/>
    <x v="0"/>
    <x v="4"/>
    <s v="Desktop"/>
    <n v="2921"/>
    <n v="141"/>
    <n v="2"/>
    <n v="783.1"/>
    <n v="308.58999999999997"/>
    <n v="4.8271140020540913E-2"/>
    <n v="1.4184397163120567E-2"/>
    <n v="391.55"/>
    <n v="-474.51000000000005"/>
    <n v="-0.60593793896054149"/>
  </r>
  <r>
    <d v="2025-02-03T00:00:00"/>
    <x v="404"/>
    <x v="14"/>
    <x v="1"/>
    <x v="0"/>
    <x v="0"/>
    <s v="Mobile"/>
    <n v="11864"/>
    <n v="434"/>
    <n v="10"/>
    <n v="482.8"/>
    <n v="712.86"/>
    <n v="3.658125421443021E-2"/>
    <n v="2.3041474654377881E-2"/>
    <n v="48.28"/>
    <n v="230.06"/>
    <n v="0.47651201325600662"/>
  </r>
  <r>
    <d v="2025-02-03T00:00:00"/>
    <x v="405"/>
    <x v="15"/>
    <x v="1"/>
    <x v="2"/>
    <x v="4"/>
    <s v="Mobile"/>
    <n v="19536"/>
    <n v="738"/>
    <n v="36"/>
    <n v="1157.26"/>
    <n v="2037.91"/>
    <n v="3.7776412776412777E-2"/>
    <n v="4.878048780487805E-2"/>
    <n v="32.146111111111111"/>
    <n v="880.65000000000009"/>
    <n v="0.76097851822408114"/>
  </r>
  <r>
    <d v="2025-02-03T00:00:00"/>
    <x v="406"/>
    <x v="13"/>
    <x v="2"/>
    <x v="0"/>
    <x v="0"/>
    <s v="Mobile"/>
    <n v="2312"/>
    <n v="108"/>
    <n v="1"/>
    <n v="704.47"/>
    <n v="152.36000000000001"/>
    <n v="4.6712802768166091E-2"/>
    <n v="9.2592592592592587E-3"/>
    <n v="704.47"/>
    <n v="-552.11"/>
    <n v="-0.78372393430522236"/>
  </r>
  <r>
    <d v="2025-02-03T00:00:00"/>
    <x v="407"/>
    <x v="7"/>
    <x v="2"/>
    <x v="0"/>
    <x v="4"/>
    <s v="Desktop"/>
    <n v="2436"/>
    <n v="68"/>
    <n v="0"/>
    <n v="268.22000000000003"/>
    <n v="0"/>
    <n v="2.7914614121510674E-2"/>
    <n v="0"/>
    <n v="0"/>
    <n v="-268.22000000000003"/>
    <n v="-1"/>
  </r>
  <r>
    <d v="2025-02-03T00:00:00"/>
    <x v="408"/>
    <x v="1"/>
    <x v="0"/>
    <x v="0"/>
    <x v="0"/>
    <s v="Mobile"/>
    <n v="7517"/>
    <n v="338"/>
    <n v="12"/>
    <n v="727.86"/>
    <n v="759.16"/>
    <n v="4.4964746574431287E-2"/>
    <n v="3.5502958579881658E-2"/>
    <n v="60.655000000000001"/>
    <n v="31.299999999999955"/>
    <n v="4.3002775258978311E-2"/>
  </r>
  <r>
    <d v="2025-02-03T00:00:00"/>
    <x v="409"/>
    <x v="2"/>
    <x v="1"/>
    <x v="2"/>
    <x v="4"/>
    <s v="Tablet"/>
    <n v="16777"/>
    <n v="666"/>
    <n v="21"/>
    <n v="896.44"/>
    <n v="1797.33"/>
    <n v="3.9697204506169162E-2"/>
    <n v="3.1531531531531529E-2"/>
    <n v="42.687619047619052"/>
    <n v="900.88999999999987"/>
    <n v="1.0049640801392172"/>
  </r>
  <r>
    <d v="2025-02-03T00:00:00"/>
    <x v="410"/>
    <x v="11"/>
    <x v="1"/>
    <x v="0"/>
    <x v="2"/>
    <s v="Mobile"/>
    <n v="10346"/>
    <n v="299"/>
    <n v="6"/>
    <n v="335.78"/>
    <n v="452.92"/>
    <n v="2.8900057993427413E-2"/>
    <n v="2.0066889632107024E-2"/>
    <n v="55.963333333333331"/>
    <n v="117.14000000000004"/>
    <n v="0.34885937220799351"/>
  </r>
  <r>
    <d v="2025-02-03T00:00:00"/>
    <x v="411"/>
    <x v="13"/>
    <x v="2"/>
    <x v="0"/>
    <x v="4"/>
    <s v="Desktop"/>
    <n v="2458"/>
    <n v="52"/>
    <n v="1"/>
    <n v="313.14"/>
    <n v="55.11"/>
    <n v="2.115541090317331E-2"/>
    <n v="1.9230769230769232E-2"/>
    <n v="313.14"/>
    <n v="-258.02999999999997"/>
    <n v="-0.82400843073385699"/>
  </r>
  <r>
    <d v="2025-02-03T00:00:00"/>
    <x v="412"/>
    <x v="16"/>
    <x v="2"/>
    <x v="0"/>
    <x v="1"/>
    <s v="Tablet"/>
    <n v="6233"/>
    <n v="226"/>
    <n v="5"/>
    <n v="1377.75"/>
    <n v="993.6"/>
    <n v="3.6258623455799777E-2"/>
    <n v="2.2123893805309734E-2"/>
    <n v="275.55"/>
    <n v="-384.15"/>
    <n v="-0.27882416984213387"/>
  </r>
  <r>
    <d v="2025-02-04T00:00:00"/>
    <x v="413"/>
    <x v="15"/>
    <x v="1"/>
    <x v="2"/>
    <x v="0"/>
    <s v="Mobile"/>
    <n v="9918"/>
    <n v="456"/>
    <n v="21"/>
    <n v="480.24"/>
    <n v="1113.6400000000001"/>
    <n v="4.5977011494252873E-2"/>
    <n v="4.6052631578947366E-2"/>
    <n v="22.868571428571428"/>
    <n v="633.40000000000009"/>
    <n v="1.3189238713976348"/>
  </r>
  <r>
    <d v="2025-02-04T00:00:00"/>
    <x v="414"/>
    <x v="2"/>
    <x v="1"/>
    <x v="0"/>
    <x v="2"/>
    <s v="Mobile"/>
    <n v="15122"/>
    <n v="510"/>
    <n v="7"/>
    <n v="861.32"/>
    <n v="531.91"/>
    <n v="3.3725697659039808E-2"/>
    <n v="1.3725490196078431E-2"/>
    <n v="123.0457142857143"/>
    <n v="-329.41000000000008"/>
    <n v="-0.38244787071007297"/>
  </r>
  <r>
    <d v="2025-02-04T00:00:00"/>
    <x v="415"/>
    <x v="18"/>
    <x v="4"/>
    <x v="0"/>
    <x v="0"/>
    <s v="Mobile"/>
    <n v="4025"/>
    <n v="456"/>
    <n v="50"/>
    <n v="102.5"/>
    <n v="4399.92"/>
    <n v="0.11329192546583851"/>
    <n v="0.10964912280701754"/>
    <n v="2.0499999999999998"/>
    <n v="4297.42"/>
    <n v="41.926048780487804"/>
  </r>
  <r>
    <d v="2025-02-04T00:00:00"/>
    <x v="416"/>
    <x v="12"/>
    <x v="0"/>
    <x v="2"/>
    <x v="1"/>
    <s v="Desktop"/>
    <n v="5533"/>
    <n v="301"/>
    <n v="21"/>
    <n v="749.03"/>
    <n v="2476.98"/>
    <n v="5.4400867522139885E-2"/>
    <n v="6.9767441860465115E-2"/>
    <n v="35.668095238095233"/>
    <n v="1727.95"/>
    <n v="2.3069169459167189"/>
  </r>
  <r>
    <d v="2025-02-04T00:00:00"/>
    <x v="417"/>
    <x v="2"/>
    <x v="1"/>
    <x v="0"/>
    <x v="3"/>
    <s v="Mobile"/>
    <n v="10835"/>
    <n v="287"/>
    <n v="4"/>
    <n v="571.29999999999995"/>
    <n v="382.4"/>
    <n v="2.6488232579603137E-2"/>
    <n v="1.3937282229965157E-2"/>
    <n v="142.82499999999999"/>
    <n v="-188.89999999999998"/>
    <n v="-0.33064939611412564"/>
  </r>
  <r>
    <d v="2025-02-04T00:00:00"/>
    <x v="418"/>
    <x v="7"/>
    <x v="2"/>
    <x v="2"/>
    <x v="3"/>
    <s v="Mobile"/>
    <n v="2356"/>
    <n v="152"/>
    <n v="2"/>
    <n v="1018.43"/>
    <n v="372.63"/>
    <n v="6.4516129032258063E-2"/>
    <n v="1.3157894736842105E-2"/>
    <n v="509.21499999999997"/>
    <n v="-645.79999999999995"/>
    <n v="-0.63411329202792532"/>
  </r>
  <r>
    <d v="2025-02-04T00:00:00"/>
    <x v="419"/>
    <x v="14"/>
    <x v="1"/>
    <x v="0"/>
    <x v="3"/>
    <s v="Mobile"/>
    <n v="8007"/>
    <n v="321"/>
    <n v="10"/>
    <n v="615.85"/>
    <n v="840.69"/>
    <n v="4.0089921318846013E-2"/>
    <n v="3.1152647975077882E-2"/>
    <n v="61.585000000000001"/>
    <n v="224.84000000000003"/>
    <n v="0.36508890151822687"/>
  </r>
  <r>
    <d v="2025-02-04T00:00:00"/>
    <x v="420"/>
    <x v="8"/>
    <x v="3"/>
    <x v="2"/>
    <x v="1"/>
    <s v="Mobile"/>
    <n v="25635"/>
    <n v="532"/>
    <n v="8"/>
    <n v="596.02"/>
    <n v="349.45"/>
    <n v="2.0752876926077628E-2"/>
    <n v="1.5037593984962405E-2"/>
    <n v="74.502499999999998"/>
    <n v="-246.57"/>
    <n v="-0.41369417133653236"/>
  </r>
  <r>
    <d v="2025-02-04T00:00:00"/>
    <x v="421"/>
    <x v="9"/>
    <x v="4"/>
    <x v="0"/>
    <x v="1"/>
    <s v="Tablet"/>
    <n v="1076"/>
    <n v="94"/>
    <n v="14"/>
    <n v="28.85"/>
    <n v="1992.22"/>
    <n v="8.7360594795539037E-2"/>
    <n v="0.14893617021276595"/>
    <n v="2.0607142857142859"/>
    <n v="1963.3700000000001"/>
    <n v="68.05441941074524"/>
  </r>
  <r>
    <d v="2025-02-04T00:00:00"/>
    <x v="422"/>
    <x v="7"/>
    <x v="2"/>
    <x v="0"/>
    <x v="4"/>
    <s v="Mobile"/>
    <n v="3312"/>
    <n v="165"/>
    <n v="2"/>
    <n v="700.27"/>
    <n v="235.85"/>
    <n v="4.9818840579710144E-2"/>
    <n v="1.2121212121212121E-2"/>
    <n v="350.13499999999999"/>
    <n v="-464.41999999999996"/>
    <n v="-0.66320133662730085"/>
  </r>
  <r>
    <d v="2025-02-04T00:00:00"/>
    <x v="423"/>
    <x v="5"/>
    <x v="4"/>
    <x v="2"/>
    <x v="3"/>
    <s v="Mobile"/>
    <n v="1920"/>
    <n v="348"/>
    <n v="65"/>
    <n v="94.17"/>
    <n v="8496.2999999999993"/>
    <n v="0.18124999999999999"/>
    <n v="0.18678160919540229"/>
    <n v="1.4487692307692308"/>
    <n v="8402.1299999999992"/>
    <n v="89.223000955718376"/>
  </r>
  <r>
    <d v="2025-02-04T00:00:00"/>
    <x v="424"/>
    <x v="18"/>
    <x v="4"/>
    <x v="2"/>
    <x v="1"/>
    <s v="Mobile"/>
    <n v="1180"/>
    <n v="207"/>
    <n v="27"/>
    <n v="96.96"/>
    <n v="2577.1"/>
    <n v="0.17542372881355933"/>
    <n v="0.13043478260869565"/>
    <n v="3.5911111111111107"/>
    <n v="2480.14"/>
    <n v="25.579001650165019"/>
  </r>
  <r>
    <d v="2025-02-05T00:00:00"/>
    <x v="425"/>
    <x v="14"/>
    <x v="1"/>
    <x v="2"/>
    <x v="3"/>
    <s v="Mobile"/>
    <n v="14439"/>
    <n v="514"/>
    <n v="14"/>
    <n v="807.47"/>
    <n v="1435.61"/>
    <n v="3.5598033104785647E-2"/>
    <n v="2.7237354085603113E-2"/>
    <n v="57.676428571428573"/>
    <n v="628.13999999999987"/>
    <n v="0.77791125366886682"/>
  </r>
  <r>
    <d v="2025-02-05T00:00:00"/>
    <x v="426"/>
    <x v="14"/>
    <x v="1"/>
    <x v="1"/>
    <x v="0"/>
    <s v="Desktop"/>
    <n v="16752"/>
    <n v="386"/>
    <n v="7"/>
    <n v="464.85"/>
    <n v="619.59"/>
    <n v="2.3042024832855779E-2"/>
    <n v="1.8134715025906734E-2"/>
    <n v="66.407142857142858"/>
    <n v="154.74"/>
    <n v="0.33288157470151664"/>
  </r>
  <r>
    <d v="2025-02-05T00:00:00"/>
    <x v="427"/>
    <x v="7"/>
    <x v="2"/>
    <x v="2"/>
    <x v="3"/>
    <s v="Mobile"/>
    <n v="3334"/>
    <n v="175"/>
    <n v="4"/>
    <n v="789.83"/>
    <n v="526.63"/>
    <n v="5.2489502099580081E-2"/>
    <n v="2.2857142857142857E-2"/>
    <n v="197.45750000000001"/>
    <n v="-263.20000000000005"/>
    <n v="-0.33323626603193096"/>
  </r>
  <r>
    <d v="2025-02-05T00:00:00"/>
    <x v="428"/>
    <x v="17"/>
    <x v="0"/>
    <x v="0"/>
    <x v="2"/>
    <s v="Mobile"/>
    <n v="10298"/>
    <n v="590"/>
    <n v="14"/>
    <n v="967.54"/>
    <n v="1642.95"/>
    <n v="5.7292678189939793E-2"/>
    <n v="2.3728813559322035E-2"/>
    <n v="69.11"/>
    <n v="675.41000000000008"/>
    <n v="0.69806933046695752"/>
  </r>
  <r>
    <d v="2025-02-05T00:00:00"/>
    <x v="429"/>
    <x v="8"/>
    <x v="3"/>
    <x v="2"/>
    <x v="2"/>
    <s v="Mobile"/>
    <n v="27199"/>
    <n v="262"/>
    <n v="4"/>
    <n v="309.89999999999998"/>
    <n v="238.01"/>
    <n v="9.6327070848192947E-3"/>
    <n v="1.5267175572519083E-2"/>
    <n v="77.474999999999994"/>
    <n v="-71.889999999999986"/>
    <n v="-0.23197805743788316"/>
  </r>
  <r>
    <d v="2025-02-05T00:00:00"/>
    <x v="430"/>
    <x v="18"/>
    <x v="4"/>
    <x v="0"/>
    <x v="2"/>
    <s v="Desktop"/>
    <n v="2612"/>
    <n v="302"/>
    <n v="43"/>
    <n v="96.42"/>
    <n v="5657.07"/>
    <n v="0.11562021439509954"/>
    <n v="0.14238410596026491"/>
    <n v="2.2423255813953489"/>
    <n v="5560.65"/>
    <n v="57.671126322339759"/>
  </r>
  <r>
    <d v="2025-02-05T00:00:00"/>
    <x v="431"/>
    <x v="1"/>
    <x v="0"/>
    <x v="0"/>
    <x v="1"/>
    <s v="Mobile"/>
    <n v="8275"/>
    <n v="446"/>
    <n v="15"/>
    <n v="950.06"/>
    <n v="1043.76"/>
    <n v="5.3897280966767373E-2"/>
    <n v="3.3632286995515695E-2"/>
    <n v="63.337333333333326"/>
    <n v="93.700000000000045"/>
    <n v="9.8625349977896182E-2"/>
  </r>
  <r>
    <d v="2025-02-05T00:00:00"/>
    <x v="432"/>
    <x v="8"/>
    <x v="3"/>
    <x v="0"/>
    <x v="2"/>
    <s v="Mobile"/>
    <n v="35022"/>
    <n v="366"/>
    <n v="4"/>
    <n v="288.07"/>
    <n v="242.34"/>
    <n v="1.0450573924961452E-2"/>
    <n v="1.092896174863388E-2"/>
    <n v="72.017499999999998"/>
    <n v="-45.72999999999999"/>
    <n v="-0.15874613809143609"/>
  </r>
  <r>
    <d v="2025-02-06T00:00:00"/>
    <x v="433"/>
    <x v="9"/>
    <x v="4"/>
    <x v="2"/>
    <x v="0"/>
    <s v="Mobile"/>
    <n v="4700"/>
    <n v="516"/>
    <n v="111"/>
    <n v="215.99"/>
    <n v="15683.37"/>
    <n v="0.10978723404255319"/>
    <n v="0.21511627906976744"/>
    <n v="1.9458558558558559"/>
    <n v="15467.380000000001"/>
    <n v="71.611556090559745"/>
  </r>
  <r>
    <d v="2025-02-06T00:00:00"/>
    <x v="434"/>
    <x v="19"/>
    <x v="4"/>
    <x v="0"/>
    <x v="0"/>
    <s v="Mobile"/>
    <n v="3025"/>
    <n v="416"/>
    <n v="42"/>
    <n v="144.55000000000001"/>
    <n v="3483.07"/>
    <n v="0.1375206611570248"/>
    <n v="0.10096153846153846"/>
    <n v="3.4416666666666669"/>
    <n v="3338.52"/>
    <n v="23.095952957454166"/>
  </r>
  <r>
    <d v="2025-02-06T00:00:00"/>
    <x v="435"/>
    <x v="5"/>
    <x v="4"/>
    <x v="2"/>
    <x v="1"/>
    <s v="Mobile"/>
    <n v="2408"/>
    <n v="343"/>
    <n v="41"/>
    <n v="151.34"/>
    <n v="3970.01"/>
    <n v="0.14244186046511628"/>
    <n v="0.119533527696793"/>
    <n v="3.6912195121951221"/>
    <n v="3818.67"/>
    <n v="25.232390643583983"/>
  </r>
  <r>
    <d v="2025-02-06T00:00:00"/>
    <x v="436"/>
    <x v="18"/>
    <x v="4"/>
    <x v="2"/>
    <x v="1"/>
    <s v="Desktop"/>
    <n v="1793"/>
    <n v="266"/>
    <n v="43"/>
    <n v="118.68"/>
    <n v="4006.16"/>
    <n v="0.14835471277189069"/>
    <n v="0.16165413533834586"/>
    <n v="2.7600000000000002"/>
    <n v="3887.48"/>
    <n v="32.755982473879335"/>
  </r>
  <r>
    <d v="2025-02-06T00:00:00"/>
    <x v="437"/>
    <x v="0"/>
    <x v="0"/>
    <x v="2"/>
    <x v="3"/>
    <s v="Mobile"/>
    <n v="10655"/>
    <n v="418"/>
    <n v="26"/>
    <n v="926.54"/>
    <n v="2040.92"/>
    <n v="3.9230408259033317E-2"/>
    <n v="6.2200956937799042E-2"/>
    <n v="35.636153846153846"/>
    <n v="1114.3800000000001"/>
    <n v="1.2027327476417642"/>
  </r>
  <r>
    <d v="2025-02-06T00:00:00"/>
    <x v="438"/>
    <x v="1"/>
    <x v="0"/>
    <x v="0"/>
    <x v="3"/>
    <s v="Mobile"/>
    <n v="9313"/>
    <n v="529"/>
    <n v="16"/>
    <n v="1045.06"/>
    <n v="1420.67"/>
    <n v="5.6802319338559004E-2"/>
    <n v="3.0245746691871456E-2"/>
    <n v="65.316249999999997"/>
    <n v="375.61000000000013"/>
    <n v="0.35941477044380243"/>
  </r>
  <r>
    <d v="2025-02-06T00:00:00"/>
    <x v="439"/>
    <x v="17"/>
    <x v="0"/>
    <x v="2"/>
    <x v="1"/>
    <s v="Desktop"/>
    <n v="6378"/>
    <n v="253"/>
    <n v="11"/>
    <n v="638.1"/>
    <n v="1122.3"/>
    <n v="3.9667607400439009E-2"/>
    <n v="4.3478260869565216E-2"/>
    <n v="58.009090909090908"/>
    <n v="484.19999999999993"/>
    <n v="0.75881523272214368"/>
  </r>
  <r>
    <d v="2025-02-06T00:00:00"/>
    <x v="440"/>
    <x v="4"/>
    <x v="3"/>
    <x v="0"/>
    <x v="4"/>
    <s v="Mobile"/>
    <n v="24796"/>
    <n v="354"/>
    <n v="2"/>
    <n v="320.61"/>
    <n v="108.42"/>
    <n v="1.4276496209065978E-2"/>
    <n v="5.6497175141242938E-3"/>
    <n v="160.30500000000001"/>
    <n v="-212.19"/>
    <n v="-0.66183213249742678"/>
  </r>
  <r>
    <d v="2025-02-06T00:00:00"/>
    <x v="441"/>
    <x v="4"/>
    <x v="3"/>
    <x v="0"/>
    <x v="1"/>
    <s v="Mobile"/>
    <n v="23721"/>
    <n v="592"/>
    <n v="4"/>
    <n v="739.04"/>
    <n v="194.21"/>
    <n v="2.4956789342776443E-2"/>
    <n v="6.7567567567567571E-3"/>
    <n v="184.76"/>
    <n v="-544.82999999999993"/>
    <n v="-0.73721314137259142"/>
  </r>
  <r>
    <d v="2025-02-06T00:00:00"/>
    <x v="442"/>
    <x v="19"/>
    <x v="4"/>
    <x v="0"/>
    <x v="2"/>
    <s v="Mobile"/>
    <n v="1487"/>
    <n v="232"/>
    <n v="31"/>
    <n v="113.45"/>
    <n v="2575.86"/>
    <n v="0.15601882985877605"/>
    <n v="0.1336206896551724"/>
    <n v="3.6596774193548387"/>
    <n v="2462.4100000000003"/>
    <n v="21.704803878360515"/>
  </r>
  <r>
    <d v="2025-02-06T00:00:00"/>
    <x v="443"/>
    <x v="1"/>
    <x v="0"/>
    <x v="1"/>
    <x v="4"/>
    <s v="Mobile"/>
    <n v="6323"/>
    <n v="203"/>
    <n v="6"/>
    <n v="559.41"/>
    <n v="460.97"/>
    <n v="3.2105013442985927E-2"/>
    <n v="2.9556650246305417E-2"/>
    <n v="93.234999999999999"/>
    <n v="-98.439999999999941"/>
    <n v="-0.17597111242201596"/>
  </r>
  <r>
    <d v="2025-02-06T00:00:00"/>
    <x v="444"/>
    <x v="7"/>
    <x v="2"/>
    <x v="0"/>
    <x v="4"/>
    <s v="Mobile"/>
    <n v="3712"/>
    <n v="141"/>
    <n v="1"/>
    <n v="865.23"/>
    <n v="165.55"/>
    <n v="3.7984913793103446E-2"/>
    <n v="7.0921985815602835E-3"/>
    <n v="865.23"/>
    <n v="-699.68000000000006"/>
    <n v="-0.80866359233960916"/>
  </r>
  <r>
    <d v="2025-02-06T00:00:00"/>
    <x v="445"/>
    <x v="5"/>
    <x v="4"/>
    <x v="2"/>
    <x v="0"/>
    <s v="Mobile"/>
    <n v="2625"/>
    <n v="438"/>
    <n v="51"/>
    <n v="173.39"/>
    <n v="6015.35"/>
    <n v="0.16685714285714287"/>
    <n v="0.11643835616438356"/>
    <n v="3.3998039215686271"/>
    <n v="5841.96"/>
    <n v="33.692600495991698"/>
  </r>
  <r>
    <d v="2025-02-06T00:00:00"/>
    <x v="446"/>
    <x v="14"/>
    <x v="1"/>
    <x v="0"/>
    <x v="3"/>
    <s v="Mobile"/>
    <n v="8129"/>
    <n v="182"/>
    <n v="5"/>
    <n v="245.96"/>
    <n v="357.27"/>
    <n v="2.2388977734038626E-2"/>
    <n v="2.7472527472527472E-2"/>
    <n v="49.192"/>
    <n v="111.30999999999997"/>
    <n v="0.45255326069279544"/>
  </r>
  <r>
    <d v="2025-02-06T00:00:00"/>
    <x v="447"/>
    <x v="15"/>
    <x v="1"/>
    <x v="2"/>
    <x v="1"/>
    <s v="Desktop"/>
    <n v="13972"/>
    <n v="285"/>
    <n v="9"/>
    <n v="476.7"/>
    <n v="584.34"/>
    <n v="2.039793873461208E-2"/>
    <n v="3.1578947368421054E-2"/>
    <n v="52.966666666666669"/>
    <n v="107.64000000000004"/>
    <n v="0.22580239144115805"/>
  </r>
  <r>
    <d v="2025-02-06T00:00:00"/>
    <x v="448"/>
    <x v="7"/>
    <x v="2"/>
    <x v="2"/>
    <x v="0"/>
    <s v="Mobile"/>
    <n v="6581"/>
    <n v="190"/>
    <n v="8"/>
    <n v="1214.26"/>
    <n v="881.61"/>
    <n v="2.8870992250417869E-2"/>
    <n v="4.2105263157894736E-2"/>
    <n v="151.7825"/>
    <n v="-332.65"/>
    <n v="-0.27395286017821552"/>
  </r>
  <r>
    <d v="2025-02-06T00:00:00"/>
    <x v="449"/>
    <x v="16"/>
    <x v="2"/>
    <x v="2"/>
    <x v="2"/>
    <s v="Mobile"/>
    <n v="4895"/>
    <n v="203"/>
    <n v="5"/>
    <n v="1136.3699999999999"/>
    <n v="533.36"/>
    <n v="4.14708886618999E-2"/>
    <n v="2.4630541871921183E-2"/>
    <n v="227.27399999999997"/>
    <n v="-603.00999999999988"/>
    <n v="-0.53064582838336105"/>
  </r>
  <r>
    <d v="2025-02-07T00:00:00"/>
    <x v="450"/>
    <x v="7"/>
    <x v="2"/>
    <x v="1"/>
    <x v="2"/>
    <s v="Desktop"/>
    <n v="6198"/>
    <n v="217"/>
    <n v="2"/>
    <n v="851.53"/>
    <n v="391.38"/>
    <n v="3.5011293965795415E-2"/>
    <n v="9.2165898617511521E-3"/>
    <n v="425.76499999999999"/>
    <n v="-460.15"/>
    <n v="-0.54038025671438472"/>
  </r>
  <r>
    <d v="2025-02-07T00:00:00"/>
    <x v="451"/>
    <x v="12"/>
    <x v="0"/>
    <x v="1"/>
    <x v="1"/>
    <s v="Mobile"/>
    <n v="8722"/>
    <n v="269"/>
    <n v="2"/>
    <n v="821.84"/>
    <n v="227.48"/>
    <n v="3.0841550103187343E-2"/>
    <n v="7.4349442379182153E-3"/>
    <n v="410.92"/>
    <n v="-594.36"/>
    <n v="-0.72320646354521556"/>
  </r>
  <r>
    <d v="2025-02-07T00:00:00"/>
    <x v="452"/>
    <x v="2"/>
    <x v="1"/>
    <x v="0"/>
    <x v="0"/>
    <s v="Mobile"/>
    <n v="18266"/>
    <n v="542"/>
    <n v="15"/>
    <n v="670.09"/>
    <n v="773.3"/>
    <n v="2.9672615788897405E-2"/>
    <n v="2.7675276752767528E-2"/>
    <n v="44.672666666666672"/>
    <n v="103.20999999999992"/>
    <n v="0.15402408631676329"/>
  </r>
  <r>
    <d v="2025-02-07T00:00:00"/>
    <x v="453"/>
    <x v="15"/>
    <x v="1"/>
    <x v="0"/>
    <x v="0"/>
    <s v="Tablet"/>
    <n v="11690"/>
    <n v="371"/>
    <n v="7"/>
    <n v="575.82000000000005"/>
    <n v="693.63"/>
    <n v="3.1736526946107783E-2"/>
    <n v="1.8867924528301886E-2"/>
    <n v="82.26"/>
    <n v="117.80999999999995"/>
    <n v="0.20459518599562351"/>
  </r>
  <r>
    <d v="2025-02-07T00:00:00"/>
    <x v="454"/>
    <x v="12"/>
    <x v="0"/>
    <x v="2"/>
    <x v="1"/>
    <s v="Mobile"/>
    <n v="10362"/>
    <n v="616"/>
    <n v="20"/>
    <n v="1244.21"/>
    <n v="2096.16"/>
    <n v="5.9447983014861996E-2"/>
    <n v="3.2467532467532464E-2"/>
    <n v="62.210500000000003"/>
    <n v="851.94999999999982"/>
    <n v="0.68473167712845884"/>
  </r>
  <r>
    <d v="2025-02-07T00:00:00"/>
    <x v="455"/>
    <x v="17"/>
    <x v="0"/>
    <x v="0"/>
    <x v="1"/>
    <s v="Mobile"/>
    <n v="9801"/>
    <n v="698"/>
    <n v="31"/>
    <n v="1691.25"/>
    <n v="2499.91"/>
    <n v="7.1217222732374241E-2"/>
    <n v="4.4412607449856735E-2"/>
    <n v="54.556451612903224"/>
    <n v="808.65999999999985"/>
    <n v="0.47814338507021426"/>
  </r>
  <r>
    <d v="2025-02-07T00:00:00"/>
    <x v="456"/>
    <x v="13"/>
    <x v="2"/>
    <x v="2"/>
    <x v="3"/>
    <s v="Mobile"/>
    <n v="3909"/>
    <n v="221"/>
    <n v="6"/>
    <n v="1622.39"/>
    <n v="1233.28"/>
    <n v="5.6536198516244564E-2"/>
    <n v="2.7149321266968326E-2"/>
    <n v="270.39833333333337"/>
    <n v="-389.11000000000013"/>
    <n v="-0.23983752365337563"/>
  </r>
  <r>
    <d v="2025-02-07T00:00:00"/>
    <x v="457"/>
    <x v="13"/>
    <x v="2"/>
    <x v="0"/>
    <x v="3"/>
    <s v="Mobile"/>
    <n v="6329"/>
    <n v="208"/>
    <n v="1"/>
    <n v="1754.72"/>
    <n v="149.35"/>
    <n v="3.2864591562648128E-2"/>
    <n v="4.807692307692308E-3"/>
    <n v="1754.72"/>
    <n v="-1605.3700000000001"/>
    <n v="-0.91488670557125928"/>
  </r>
  <r>
    <d v="2025-02-07T00:00:00"/>
    <x v="458"/>
    <x v="4"/>
    <x v="3"/>
    <x v="0"/>
    <x v="2"/>
    <s v="Tablet"/>
    <n v="31702"/>
    <n v="527"/>
    <n v="2"/>
    <n v="525.39"/>
    <n v="135.55000000000001"/>
    <n v="1.6623556873383384E-2"/>
    <n v="3.7950664136622392E-3"/>
    <n v="262.69499999999999"/>
    <n v="-389.84"/>
    <n v="-0.74200118007575322"/>
  </r>
  <r>
    <d v="2025-02-07T00:00:00"/>
    <x v="459"/>
    <x v="0"/>
    <x v="0"/>
    <x v="2"/>
    <x v="0"/>
    <s v="Mobile"/>
    <n v="8247"/>
    <n v="502"/>
    <n v="20"/>
    <n v="1387.44"/>
    <n v="1418.32"/>
    <n v="6.0870619619255488E-2"/>
    <n v="3.9840637450199202E-2"/>
    <n v="69.372"/>
    <n v="30.879999999999882"/>
    <n v="2.2256818312863892E-2"/>
  </r>
  <r>
    <d v="2025-02-07T00:00:00"/>
    <x v="460"/>
    <x v="18"/>
    <x v="4"/>
    <x v="2"/>
    <x v="1"/>
    <s v="Mobile"/>
    <n v="3362"/>
    <n v="478"/>
    <n v="79"/>
    <n v="139.29"/>
    <n v="10192.16"/>
    <n v="0.14217727543129091"/>
    <n v="0.16527196652719664"/>
    <n v="1.7631645569620251"/>
    <n v="10052.869999999999"/>
    <n v="72.172230598032883"/>
  </r>
  <r>
    <d v="2025-02-07T00:00:00"/>
    <x v="461"/>
    <x v="1"/>
    <x v="0"/>
    <x v="1"/>
    <x v="4"/>
    <s v="Mobile"/>
    <n v="10334"/>
    <n v="404"/>
    <n v="11"/>
    <n v="711.19"/>
    <n v="686.08"/>
    <n v="3.9094251983742986E-2"/>
    <n v="2.7227722772277228E-2"/>
    <n v="64.653636363636366"/>
    <n v="-25.110000000000014"/>
    <n v="-3.5307020627399162E-2"/>
  </r>
  <r>
    <d v="2025-02-08T00:00:00"/>
    <x v="462"/>
    <x v="5"/>
    <x v="4"/>
    <x v="0"/>
    <x v="4"/>
    <s v="Mobile"/>
    <n v="2924"/>
    <n v="431"/>
    <n v="55"/>
    <n v="176.91"/>
    <n v="5326.9"/>
    <n v="0.14740082079343364"/>
    <n v="0.12761020881670534"/>
    <n v="3.2165454545454546"/>
    <n v="5149.99"/>
    <n v="29.110790797580691"/>
  </r>
  <r>
    <d v="2025-02-08T00:00:00"/>
    <x v="463"/>
    <x v="13"/>
    <x v="2"/>
    <x v="0"/>
    <x v="2"/>
    <s v="Mobile"/>
    <n v="4403"/>
    <n v="162"/>
    <n v="1"/>
    <n v="784.84"/>
    <n v="180.02"/>
    <n v="3.6793095616625027E-2"/>
    <n v="6.1728395061728392E-3"/>
    <n v="784.84"/>
    <n v="-604.82000000000005"/>
    <n v="-0.77062840833800528"/>
  </r>
  <r>
    <d v="2025-02-08T00:00:00"/>
    <x v="464"/>
    <x v="19"/>
    <x v="4"/>
    <x v="2"/>
    <x v="4"/>
    <s v="Mobile"/>
    <n v="3663"/>
    <n v="399"/>
    <n v="59"/>
    <n v="88.39"/>
    <n v="5965.24"/>
    <n v="0.10892710892710893"/>
    <n v="0.14786967418546365"/>
    <n v="1.4981355932203391"/>
    <n v="5876.8499999999995"/>
    <n v="66.487724855752901"/>
  </r>
  <r>
    <d v="2025-02-08T00:00:00"/>
    <x v="465"/>
    <x v="16"/>
    <x v="2"/>
    <x v="0"/>
    <x v="0"/>
    <s v="Mobile"/>
    <n v="2216"/>
    <n v="114"/>
    <n v="2"/>
    <n v="542.55999999999995"/>
    <n v="78.099999999999994"/>
    <n v="5.1444043321299641E-2"/>
    <n v="1.7543859649122806E-2"/>
    <n v="271.27999999999997"/>
    <n v="-464.45999999999992"/>
    <n v="-0.8560527867885579"/>
  </r>
  <r>
    <d v="2025-02-08T00:00:00"/>
    <x v="466"/>
    <x v="5"/>
    <x v="4"/>
    <x v="0"/>
    <x v="3"/>
    <s v="Mobile"/>
    <n v="3226"/>
    <n v="293"/>
    <n v="31"/>
    <n v="66.510000000000005"/>
    <n v="4022.63"/>
    <n v="9.0824550526968376E-2"/>
    <n v="0.10580204778156997"/>
    <n v="2.145483870967742"/>
    <n v="3956.12"/>
    <n v="59.481581717035027"/>
  </r>
  <r>
    <d v="2025-02-08T00:00:00"/>
    <x v="467"/>
    <x v="8"/>
    <x v="3"/>
    <x v="2"/>
    <x v="3"/>
    <s v="Tablet"/>
    <n v="24215"/>
    <n v="654"/>
    <n v="18"/>
    <n v="997.32"/>
    <n v="971.13"/>
    <n v="2.7008052859797647E-2"/>
    <n v="2.7522935779816515E-2"/>
    <n v="55.406666666666666"/>
    <n v="-26.190000000000055"/>
    <n v="-2.6260377812537653E-2"/>
  </r>
  <r>
    <d v="2025-02-08T00:00:00"/>
    <x v="468"/>
    <x v="3"/>
    <x v="2"/>
    <x v="2"/>
    <x v="4"/>
    <s v="Mobile"/>
    <n v="2914"/>
    <n v="108"/>
    <n v="3"/>
    <n v="488.31"/>
    <n v="542.4"/>
    <n v="3.7062457103637612E-2"/>
    <n v="2.7777777777777776E-2"/>
    <n v="162.77000000000001"/>
    <n v="54.089999999999975"/>
    <n v="0.11076979787430111"/>
  </r>
  <r>
    <d v="2025-02-08T00:00:00"/>
    <x v="469"/>
    <x v="6"/>
    <x v="3"/>
    <x v="2"/>
    <x v="4"/>
    <s v="Desktop"/>
    <n v="23692"/>
    <n v="585"/>
    <n v="18"/>
    <n v="797.51"/>
    <n v="1499.09"/>
    <n v="2.4691879115313186E-2"/>
    <n v="3.0769230769230771E-2"/>
    <n v="44.306111111111107"/>
    <n v="701.57999999999993"/>
    <n v="0.87971310704567962"/>
  </r>
  <r>
    <d v="2025-02-08T00:00:00"/>
    <x v="470"/>
    <x v="6"/>
    <x v="3"/>
    <x v="2"/>
    <x v="2"/>
    <s v="Mobile"/>
    <n v="16151"/>
    <n v="321"/>
    <n v="6"/>
    <n v="382.62"/>
    <n v="361.93"/>
    <n v="1.9874930344870288E-2"/>
    <n v="1.8691588785046728E-2"/>
    <n v="63.77"/>
    <n v="-20.689999999999998"/>
    <n v="-5.4074538706810928E-2"/>
  </r>
  <r>
    <d v="2025-02-08T00:00:00"/>
    <x v="471"/>
    <x v="10"/>
    <x v="3"/>
    <x v="0"/>
    <x v="1"/>
    <s v="Mobile"/>
    <n v="19717"/>
    <n v="519"/>
    <n v="5"/>
    <n v="641.12"/>
    <n v="204.23"/>
    <n v="2.6322462849317847E-2"/>
    <n v="9.6339113680154135E-3"/>
    <n v="128.22399999999999"/>
    <n v="-436.89"/>
    <n v="-0.6814480908410282"/>
  </r>
  <r>
    <d v="2025-02-08T00:00:00"/>
    <x v="472"/>
    <x v="7"/>
    <x v="2"/>
    <x v="0"/>
    <x v="3"/>
    <s v="Desktop"/>
    <n v="4000"/>
    <n v="154"/>
    <n v="3"/>
    <n v="1159.48"/>
    <n v="622.91"/>
    <n v="3.85E-2"/>
    <n v="1.948051948051948E-2"/>
    <n v="386.49333333333334"/>
    <n v="-536.57000000000005"/>
    <n v="-0.46276779245868843"/>
  </r>
  <r>
    <d v="2025-02-08T00:00:00"/>
    <x v="473"/>
    <x v="19"/>
    <x v="4"/>
    <x v="0"/>
    <x v="2"/>
    <s v="Mobile"/>
    <n v="1471"/>
    <n v="160"/>
    <n v="18"/>
    <n v="49.95"/>
    <n v="2431.48"/>
    <n v="0.10876954452753229"/>
    <n v="0.1125"/>
    <n v="2.7750000000000004"/>
    <n v="2381.5300000000002"/>
    <n v="47.678278278278277"/>
  </r>
  <r>
    <d v="2025-02-08T00:00:00"/>
    <x v="474"/>
    <x v="14"/>
    <x v="1"/>
    <x v="1"/>
    <x v="4"/>
    <s v="Desktop"/>
    <n v="13976"/>
    <n v="214"/>
    <n v="2"/>
    <n v="225.42"/>
    <n v="151.81"/>
    <n v="1.5311963365769891E-2"/>
    <n v="9.3457943925233638E-3"/>
    <n v="112.71"/>
    <n v="-73.609999999999985"/>
    <n v="-0.3265460030165912"/>
  </r>
  <r>
    <d v="2025-02-08T00:00:00"/>
    <x v="475"/>
    <x v="16"/>
    <x v="2"/>
    <x v="0"/>
    <x v="4"/>
    <s v="Mobile"/>
    <n v="6962"/>
    <n v="301"/>
    <n v="5"/>
    <n v="1243.8599999999999"/>
    <n v="793.53"/>
    <n v="4.3234702671646079E-2"/>
    <n v="1.6611295681063124E-2"/>
    <n v="248.77199999999999"/>
    <n v="-450.32999999999993"/>
    <n v="-0.36204235203318696"/>
  </r>
  <r>
    <d v="2025-02-08T00:00:00"/>
    <x v="476"/>
    <x v="6"/>
    <x v="3"/>
    <x v="0"/>
    <x v="2"/>
    <s v="Desktop"/>
    <n v="18226"/>
    <n v="551"/>
    <n v="9"/>
    <n v="641.16"/>
    <n v="643.38"/>
    <n v="3.0231537364204981E-2"/>
    <n v="1.6333938294010888E-2"/>
    <n v="71.239999999999995"/>
    <n v="2.2200000000000273"/>
    <n v="3.4624742653940163E-3"/>
  </r>
  <r>
    <d v="2025-02-09T00:00:00"/>
    <x v="477"/>
    <x v="17"/>
    <x v="0"/>
    <x v="2"/>
    <x v="4"/>
    <s v="Desktop"/>
    <n v="9112"/>
    <n v="498"/>
    <n v="38"/>
    <n v="786.31"/>
    <n v="4057.61"/>
    <n v="5.4653204565408252E-2"/>
    <n v="7.6305220883534142E-2"/>
    <n v="20.692368421052631"/>
    <n v="3271.3"/>
    <n v="4.1603184494664962"/>
  </r>
  <r>
    <d v="2025-02-09T00:00:00"/>
    <x v="478"/>
    <x v="10"/>
    <x v="3"/>
    <x v="0"/>
    <x v="3"/>
    <s v="Mobile"/>
    <n v="31563"/>
    <n v="760"/>
    <n v="9"/>
    <n v="1102.45"/>
    <n v="542.07000000000005"/>
    <n v="2.4078826474036055E-2"/>
    <n v="1.1842105263157895E-2"/>
    <n v="122.49444444444445"/>
    <n v="-560.38"/>
    <n v="-0.50830423148442105"/>
  </r>
  <r>
    <d v="2025-02-09T00:00:00"/>
    <x v="479"/>
    <x v="9"/>
    <x v="4"/>
    <x v="1"/>
    <x v="2"/>
    <s v="Mobile"/>
    <n v="3597"/>
    <n v="403"/>
    <n v="28"/>
    <n v="111.48"/>
    <n v="3485.9"/>
    <n v="0.11203780928551571"/>
    <n v="6.9478908188585611E-2"/>
    <n v="3.9814285714285718"/>
    <n v="3374.42"/>
    <n v="30.26928597057768"/>
  </r>
  <r>
    <d v="2025-02-09T00:00:00"/>
    <x v="480"/>
    <x v="15"/>
    <x v="1"/>
    <x v="2"/>
    <x v="1"/>
    <s v="Mobile"/>
    <n v="10075"/>
    <n v="305"/>
    <n v="13"/>
    <n v="521.39"/>
    <n v="1330.88"/>
    <n v="3.0272952853598014E-2"/>
    <n v="4.2622950819672129E-2"/>
    <n v="40.106923076923074"/>
    <n v="809.49000000000012"/>
    <n v="1.5525614223517907"/>
  </r>
  <r>
    <d v="2025-02-09T00:00:00"/>
    <x v="481"/>
    <x v="1"/>
    <x v="0"/>
    <x v="1"/>
    <x v="0"/>
    <s v="Mobile"/>
    <n v="9315"/>
    <n v="423"/>
    <n v="12"/>
    <n v="801.25"/>
    <n v="992.52"/>
    <n v="4.5410628019323669E-2"/>
    <n v="2.8368794326241134E-2"/>
    <n v="66.770833333333329"/>
    <n v="191.26999999999998"/>
    <n v="0.23871450858034318"/>
  </r>
  <r>
    <d v="2025-02-09T00:00:00"/>
    <x v="482"/>
    <x v="7"/>
    <x v="2"/>
    <x v="0"/>
    <x v="3"/>
    <s v="Mobile"/>
    <n v="5427"/>
    <n v="117"/>
    <n v="3"/>
    <n v="716.31"/>
    <n v="580.78"/>
    <n v="2.1558872305140961E-2"/>
    <n v="2.564102564102564E-2"/>
    <n v="238.76999999999998"/>
    <n v="-135.52999999999997"/>
    <n v="-0.18920579078890423"/>
  </r>
  <r>
    <d v="2025-02-09T00:00:00"/>
    <x v="483"/>
    <x v="10"/>
    <x v="3"/>
    <x v="0"/>
    <x v="4"/>
    <s v="Desktop"/>
    <n v="31320"/>
    <n v="925"/>
    <n v="14"/>
    <n v="1243.6199999999999"/>
    <n v="849.82"/>
    <n v="2.9533844189016605E-2"/>
    <n v="1.5135135135135135E-2"/>
    <n v="88.83"/>
    <n v="-393.79999999999984"/>
    <n v="-0.31665621331274818"/>
  </r>
  <r>
    <d v="2025-02-09T00:00:00"/>
    <x v="484"/>
    <x v="16"/>
    <x v="2"/>
    <x v="2"/>
    <x v="0"/>
    <s v="Desktop"/>
    <n v="3173"/>
    <n v="81"/>
    <n v="2"/>
    <n v="404.5"/>
    <n v="251.65"/>
    <n v="2.552789158525055E-2"/>
    <n v="2.4691358024691357E-2"/>
    <n v="202.25"/>
    <n v="-152.85"/>
    <n v="-0.37787391841779971"/>
  </r>
  <r>
    <d v="2025-02-09T00:00:00"/>
    <x v="485"/>
    <x v="6"/>
    <x v="3"/>
    <x v="2"/>
    <x v="2"/>
    <s v="Mobile"/>
    <n v="24692"/>
    <n v="751"/>
    <n v="11"/>
    <n v="749.61"/>
    <n v="612.47"/>
    <n v="3.0414709217560343E-2"/>
    <n v="1.4647137150466045E-2"/>
    <n v="68.146363636363631"/>
    <n v="-137.13999999999999"/>
    <n v="-0.182948466535932"/>
  </r>
  <r>
    <d v="2025-02-09T00:00:00"/>
    <x v="486"/>
    <x v="3"/>
    <x v="2"/>
    <x v="2"/>
    <x v="4"/>
    <s v="Mobile"/>
    <n v="5342"/>
    <n v="198"/>
    <n v="6"/>
    <n v="1132"/>
    <n v="982.3"/>
    <n v="3.7064769749157622E-2"/>
    <n v="3.0303030303030304E-2"/>
    <n v="188.66666666666666"/>
    <n v="-149.70000000000005"/>
    <n v="-0.132243816254417"/>
  </r>
  <r>
    <d v="2025-02-09T00:00:00"/>
    <x v="487"/>
    <x v="9"/>
    <x v="4"/>
    <x v="0"/>
    <x v="4"/>
    <s v="Mobile"/>
    <n v="1582"/>
    <n v="206"/>
    <n v="18"/>
    <n v="0"/>
    <n v="1794.94"/>
    <n v="0.13021491782553729"/>
    <n v="8.7378640776699032E-2"/>
    <n v="0"/>
    <n v="1794.94"/>
    <n v="0"/>
  </r>
  <r>
    <d v="2025-02-09T00:00:00"/>
    <x v="488"/>
    <x v="3"/>
    <x v="2"/>
    <x v="2"/>
    <x v="3"/>
    <s v="Mobile"/>
    <n v="5915"/>
    <n v="195"/>
    <n v="5"/>
    <n v="1015.03"/>
    <n v="551.53"/>
    <n v="3.2967032967032968E-2"/>
    <n v="2.564102564102564E-2"/>
    <n v="203.006"/>
    <n v="-463.5"/>
    <n v="-0.45663674965271961"/>
  </r>
  <r>
    <d v="2025-02-09T00:00:00"/>
    <x v="489"/>
    <x v="14"/>
    <x v="1"/>
    <x v="1"/>
    <x v="4"/>
    <s v="Desktop"/>
    <n v="9768"/>
    <n v="351"/>
    <n v="7"/>
    <n v="583.37"/>
    <n v="662.07"/>
    <n v="3.5933660933660933E-2"/>
    <n v="1.9943019943019943E-2"/>
    <n v="83.338571428571427"/>
    <n v="78.700000000000045"/>
    <n v="0.13490580592077078"/>
  </r>
  <r>
    <d v="2025-02-09T00:00:00"/>
    <x v="490"/>
    <x v="7"/>
    <x v="2"/>
    <x v="0"/>
    <x v="1"/>
    <s v="Mobile"/>
    <n v="2755"/>
    <n v="151"/>
    <n v="3"/>
    <n v="1017.71"/>
    <n v="491.76"/>
    <n v="5.4809437386569876E-2"/>
    <n v="1.9867549668874173E-2"/>
    <n v="339.23666666666668"/>
    <n v="-525.95000000000005"/>
    <n v="-0.51679751599178547"/>
  </r>
  <r>
    <d v="2025-02-09T00:00:00"/>
    <x v="491"/>
    <x v="19"/>
    <x v="4"/>
    <x v="1"/>
    <x v="4"/>
    <s v="Mobile"/>
    <n v="1667"/>
    <n v="178"/>
    <n v="11"/>
    <n v="74.819999999999993"/>
    <n v="1063.78"/>
    <n v="0.10677864427114576"/>
    <n v="6.1797752808988762E-2"/>
    <n v="6.8018181818181809"/>
    <n v="988.96"/>
    <n v="13.217856188184978"/>
  </r>
  <r>
    <d v="2025-02-10T00:00:00"/>
    <x v="492"/>
    <x v="3"/>
    <x v="2"/>
    <x v="2"/>
    <x v="1"/>
    <s v="Mobile"/>
    <n v="6804"/>
    <n v="352"/>
    <n v="11"/>
    <n v="2398.88"/>
    <n v="1702.39"/>
    <n v="5.1734273956496178E-2"/>
    <n v="3.125E-2"/>
    <n v="218.08"/>
    <n v="-696.49"/>
    <n v="-0.29033965850730342"/>
  </r>
  <r>
    <d v="2025-02-10T00:00:00"/>
    <x v="493"/>
    <x v="12"/>
    <x v="0"/>
    <x v="0"/>
    <x v="2"/>
    <s v="Desktop"/>
    <n v="11889"/>
    <n v="624"/>
    <n v="30"/>
    <n v="1425.72"/>
    <n v="3065.32"/>
    <n v="5.2485490789805703E-2"/>
    <n v="4.807692307692308E-2"/>
    <n v="47.524000000000001"/>
    <n v="1639.6000000000001"/>
    <n v="1.1500154307998767"/>
  </r>
  <r>
    <d v="2025-02-10T00:00:00"/>
    <x v="494"/>
    <x v="11"/>
    <x v="1"/>
    <x v="0"/>
    <x v="4"/>
    <s v="Desktop"/>
    <n v="14818"/>
    <n v="385"/>
    <n v="7"/>
    <n v="635.08000000000004"/>
    <n v="679.08"/>
    <n v="2.598191388851397E-2"/>
    <n v="1.8181818181818181E-2"/>
    <n v="90.72571428571429"/>
    <n v="44"/>
    <n v="6.9282610064873712E-2"/>
  </r>
  <r>
    <d v="2025-02-10T00:00:00"/>
    <x v="495"/>
    <x v="13"/>
    <x v="2"/>
    <x v="0"/>
    <x v="1"/>
    <s v="Desktop"/>
    <n v="5052"/>
    <n v="187"/>
    <n v="4"/>
    <n v="1308.92"/>
    <n v="451.11"/>
    <n v="3.7015043547110056E-2"/>
    <n v="2.1390374331550801E-2"/>
    <n v="327.23"/>
    <n v="-857.81000000000006"/>
    <n v="-0.65535708828652628"/>
  </r>
  <r>
    <d v="2025-02-10T00:00:00"/>
    <x v="496"/>
    <x v="14"/>
    <x v="1"/>
    <x v="2"/>
    <x v="0"/>
    <s v="Desktop"/>
    <n v="13510"/>
    <n v="443"/>
    <n v="19"/>
    <n v="538.77"/>
    <n v="1859.96"/>
    <n v="3.2790525536639525E-2"/>
    <n v="4.2889390519187359E-2"/>
    <n v="28.356315789473683"/>
    <n v="1321.19"/>
    <n v="2.4522337917849919"/>
  </r>
  <r>
    <d v="2025-02-10T00:00:00"/>
    <x v="497"/>
    <x v="11"/>
    <x v="1"/>
    <x v="0"/>
    <x v="0"/>
    <s v="Tablet"/>
    <n v="8082"/>
    <n v="304"/>
    <n v="6"/>
    <n v="353.36"/>
    <n v="350.52"/>
    <n v="3.761445186834942E-2"/>
    <n v="1.9736842105263157E-2"/>
    <n v="58.893333333333338"/>
    <n v="-2.8400000000000318"/>
    <n v="-8.0371292732624843E-3"/>
  </r>
  <r>
    <d v="2025-02-10T00:00:00"/>
    <x v="498"/>
    <x v="15"/>
    <x v="1"/>
    <x v="1"/>
    <x v="1"/>
    <s v="Desktop"/>
    <n v="17633"/>
    <n v="547"/>
    <n v="10"/>
    <n v="881.48"/>
    <n v="573.58000000000004"/>
    <n v="3.1021380366358531E-2"/>
    <n v="1.8281535648994516E-2"/>
    <n v="88.147999999999996"/>
    <n v="-307.89999999999998"/>
    <n v="-0.34929890638471656"/>
  </r>
  <r>
    <d v="2025-02-10T00:00:00"/>
    <x v="499"/>
    <x v="14"/>
    <x v="1"/>
    <x v="0"/>
    <x v="4"/>
    <s v="Tablet"/>
    <n v="12179"/>
    <n v="463"/>
    <n v="12"/>
    <n v="447.63"/>
    <n v="1049.82"/>
    <n v="3.8016257492404962E-2"/>
    <n v="2.591792656587473E-2"/>
    <n v="37.302500000000002"/>
    <n v="602.18999999999994"/>
    <n v="1.3452851685543863"/>
  </r>
  <r>
    <d v="2025-02-10T00:00:00"/>
    <x v="500"/>
    <x v="6"/>
    <x v="3"/>
    <x v="0"/>
    <x v="1"/>
    <s v="Mobile"/>
    <n v="34303"/>
    <n v="671"/>
    <n v="8"/>
    <n v="871.34"/>
    <n v="323.43"/>
    <n v="1.9560971343614262E-2"/>
    <n v="1.1922503725782414E-2"/>
    <n v="108.9175"/>
    <n v="-547.91000000000008"/>
    <n v="-0.62881309247825201"/>
  </r>
  <r>
    <d v="2025-02-10T00:00:00"/>
    <x v="501"/>
    <x v="2"/>
    <x v="1"/>
    <x v="0"/>
    <x v="3"/>
    <s v="Mobile"/>
    <n v="9930"/>
    <n v="313"/>
    <n v="7"/>
    <n v="606.97"/>
    <n v="447"/>
    <n v="3.152064451158107E-2"/>
    <n v="2.2364217252396165E-2"/>
    <n v="86.710000000000008"/>
    <n v="-159.97000000000003"/>
    <n v="-0.26355503566897875"/>
  </r>
  <r>
    <d v="2025-02-10T00:00:00"/>
    <x v="502"/>
    <x v="19"/>
    <x v="4"/>
    <x v="0"/>
    <x v="1"/>
    <s v="Desktop"/>
    <n v="4573"/>
    <n v="579"/>
    <n v="80"/>
    <n v="0"/>
    <n v="10736.33"/>
    <n v="0.12661272687513667"/>
    <n v="0.1381692573402418"/>
    <n v="0"/>
    <n v="10736.33"/>
    <n v="0"/>
  </r>
  <r>
    <d v="2025-02-11T00:00:00"/>
    <x v="503"/>
    <x v="13"/>
    <x v="2"/>
    <x v="0"/>
    <x v="0"/>
    <s v="Mobile"/>
    <n v="2577"/>
    <n v="57"/>
    <n v="0"/>
    <n v="344.64"/>
    <n v="0"/>
    <n v="2.2118742724097789E-2"/>
    <n v="0"/>
    <n v="0"/>
    <n v="-344.64"/>
    <n v="-1"/>
  </r>
  <r>
    <d v="2025-02-11T00:00:00"/>
    <x v="504"/>
    <x v="2"/>
    <x v="1"/>
    <x v="1"/>
    <x v="3"/>
    <s v="Mobile"/>
    <n v="17699"/>
    <n v="493"/>
    <n v="6"/>
    <n v="656.34"/>
    <n v="551.77"/>
    <n v="2.785468105542686E-2"/>
    <n v="1.2170385395537525E-2"/>
    <n v="109.39"/>
    <n v="-104.57000000000005"/>
    <n v="-0.15932291190541495"/>
  </r>
  <r>
    <d v="2025-02-11T00:00:00"/>
    <x v="505"/>
    <x v="19"/>
    <x v="4"/>
    <x v="1"/>
    <x v="2"/>
    <s v="Desktop"/>
    <n v="4468"/>
    <n v="344"/>
    <n v="32"/>
    <n v="133.58000000000001"/>
    <n v="4720.55"/>
    <n v="7.6991942703670546E-2"/>
    <n v="9.3023255813953487E-2"/>
    <n v="4.1743750000000004"/>
    <n v="4586.97"/>
    <n v="34.338748315616108"/>
  </r>
  <r>
    <d v="2025-02-11T00:00:00"/>
    <x v="506"/>
    <x v="0"/>
    <x v="0"/>
    <x v="0"/>
    <x v="4"/>
    <s v="Mobile"/>
    <n v="14961"/>
    <n v="573"/>
    <n v="18"/>
    <n v="1353.52"/>
    <n v="2007.11"/>
    <n v="3.8299578905153397E-2"/>
    <n v="3.1413612565445025E-2"/>
    <n v="75.195555555555558"/>
    <n v="653.58999999999992"/>
    <n v="0.48288167149358702"/>
  </r>
  <r>
    <d v="2025-02-11T00:00:00"/>
    <x v="507"/>
    <x v="16"/>
    <x v="2"/>
    <x v="2"/>
    <x v="3"/>
    <s v="Mobile"/>
    <n v="3390"/>
    <n v="212"/>
    <n v="8"/>
    <n v="1724.87"/>
    <n v="1474.51"/>
    <n v="6.2536873156342182E-2"/>
    <n v="3.7735849056603772E-2"/>
    <n v="215.60874999999999"/>
    <n v="-250.3599999999999"/>
    <n v="-0.1451471705114008"/>
  </r>
  <r>
    <d v="2025-02-11T00:00:00"/>
    <x v="508"/>
    <x v="14"/>
    <x v="1"/>
    <x v="2"/>
    <x v="3"/>
    <s v="Desktop"/>
    <n v="18574"/>
    <n v="476"/>
    <n v="24"/>
    <n v="607.73"/>
    <n v="1714.72"/>
    <n v="2.5627220846344351E-2"/>
    <n v="5.0420168067226892E-2"/>
    <n v="25.322083333333335"/>
    <n v="1106.99"/>
    <n v="1.8215161338094219"/>
  </r>
  <r>
    <d v="2025-02-11T00:00:00"/>
    <x v="509"/>
    <x v="12"/>
    <x v="0"/>
    <x v="0"/>
    <x v="0"/>
    <s v="Desktop"/>
    <n v="9078"/>
    <n v="248"/>
    <n v="8"/>
    <n v="429.39"/>
    <n v="560.62"/>
    <n v="2.7318792685613571E-2"/>
    <n v="3.2258064516129031E-2"/>
    <n v="53.673749999999998"/>
    <n v="131.23000000000002"/>
    <n v="0.30561959989752913"/>
  </r>
  <r>
    <d v="2025-02-11T00:00:00"/>
    <x v="510"/>
    <x v="4"/>
    <x v="3"/>
    <x v="0"/>
    <x v="1"/>
    <s v="Desktop"/>
    <n v="28645"/>
    <n v="575"/>
    <n v="10"/>
    <n v="866.85"/>
    <n v="626.55999999999995"/>
    <n v="2.0073311223599233E-2"/>
    <n v="1.7391304347826087E-2"/>
    <n v="86.685000000000002"/>
    <n v="-240.29000000000008"/>
    <n v="-0.27719905404625955"/>
  </r>
  <r>
    <d v="2025-02-11T00:00:00"/>
    <x v="511"/>
    <x v="7"/>
    <x v="2"/>
    <x v="1"/>
    <x v="3"/>
    <s v="Mobile"/>
    <n v="2491"/>
    <n v="114"/>
    <n v="1"/>
    <n v="643.78"/>
    <n v="151.86000000000001"/>
    <n v="4.5764753111200318E-2"/>
    <n v="8.771929824561403E-3"/>
    <n v="643.78"/>
    <n v="-491.91999999999996"/>
    <n v="-0.76411196371431234"/>
  </r>
  <r>
    <d v="2025-02-11T00:00:00"/>
    <x v="512"/>
    <x v="3"/>
    <x v="2"/>
    <x v="0"/>
    <x v="0"/>
    <s v="Tablet"/>
    <n v="5087"/>
    <n v="149"/>
    <n v="3"/>
    <n v="816.4"/>
    <n v="373.34"/>
    <n v="2.9290347945744054E-2"/>
    <n v="2.0134228187919462E-2"/>
    <n v="272.13333333333333"/>
    <n v="-443.06"/>
    <n v="-0.5426996570308672"/>
  </r>
  <r>
    <d v="2025-02-11T00:00:00"/>
    <x v="513"/>
    <x v="19"/>
    <x v="4"/>
    <x v="0"/>
    <x v="3"/>
    <s v="Desktop"/>
    <n v="2553"/>
    <n v="274"/>
    <n v="32"/>
    <n v="95.72"/>
    <n v="3969.92"/>
    <n v="0.10732471602036819"/>
    <n v="0.11678832116788321"/>
    <n v="2.99125"/>
    <n v="3874.2000000000003"/>
    <n v="40.474300041788553"/>
  </r>
  <r>
    <d v="2025-02-12T00:00:00"/>
    <x v="514"/>
    <x v="10"/>
    <x v="3"/>
    <x v="2"/>
    <x v="1"/>
    <s v="Desktop"/>
    <n v="21434"/>
    <n v="462"/>
    <n v="9"/>
    <n v="523.42999999999995"/>
    <n v="723.91"/>
    <n v="2.1554539516655782E-2"/>
    <n v="1.948051948051948E-2"/>
    <n v="58.158888888888882"/>
    <n v="200.48000000000002"/>
    <n v="0.38301205509810299"/>
  </r>
  <r>
    <d v="2025-02-12T00:00:00"/>
    <x v="515"/>
    <x v="10"/>
    <x v="3"/>
    <x v="2"/>
    <x v="0"/>
    <s v="Desktop"/>
    <n v="29644"/>
    <n v="348"/>
    <n v="5"/>
    <n v="312.38"/>
    <n v="313.70999999999998"/>
    <n v="1.1739306436378357E-2"/>
    <n v="1.4367816091954023E-2"/>
    <n v="62.475999999999999"/>
    <n v="1.3299999999999841"/>
    <n v="4.2576349318137656E-3"/>
  </r>
  <r>
    <d v="2025-02-12T00:00:00"/>
    <x v="516"/>
    <x v="15"/>
    <x v="1"/>
    <x v="1"/>
    <x v="4"/>
    <s v="Mobile"/>
    <n v="17523"/>
    <n v="461"/>
    <n v="9"/>
    <n v="506.31"/>
    <n v="574.89"/>
    <n v="2.630828054556868E-2"/>
    <n v="1.9522776572668113E-2"/>
    <n v="56.256666666666668"/>
    <n v="68.579999999999984"/>
    <n v="0.13545061326065055"/>
  </r>
  <r>
    <d v="2025-02-12T00:00:00"/>
    <x v="517"/>
    <x v="16"/>
    <x v="2"/>
    <x v="1"/>
    <x v="2"/>
    <s v="Desktop"/>
    <n v="5281"/>
    <n v="98"/>
    <n v="1"/>
    <n v="702.45"/>
    <n v="11.06"/>
    <n v="1.8557091459950766E-2"/>
    <n v="1.020408163265306E-2"/>
    <n v="702.45"/>
    <n v="-691.3900000000001"/>
    <n v="-0.98425510712506237"/>
  </r>
  <r>
    <d v="2025-02-12T00:00:00"/>
    <x v="518"/>
    <x v="5"/>
    <x v="4"/>
    <x v="0"/>
    <x v="4"/>
    <s v="Mobile"/>
    <n v="2547"/>
    <n v="265"/>
    <n v="19"/>
    <n v="75.41"/>
    <n v="2433.5700000000002"/>
    <n v="0.10404397330192383"/>
    <n v="7.1698113207547168E-2"/>
    <n v="3.9689473684210523"/>
    <n v="2358.1600000000003"/>
    <n v="31.271184193077847"/>
  </r>
  <r>
    <d v="2025-02-12T00:00:00"/>
    <x v="519"/>
    <x v="2"/>
    <x v="1"/>
    <x v="0"/>
    <x v="3"/>
    <s v="Mobile"/>
    <n v="12233"/>
    <n v="269"/>
    <n v="6"/>
    <n v="449.17"/>
    <n v="450.51"/>
    <n v="2.1989699991825391E-2"/>
    <n v="2.2304832713754646E-2"/>
    <n v="74.861666666666665"/>
    <n v="1.339999999999975"/>
    <n v="2.9832802725025601E-3"/>
  </r>
  <r>
    <d v="2025-02-12T00:00:00"/>
    <x v="520"/>
    <x v="12"/>
    <x v="0"/>
    <x v="1"/>
    <x v="1"/>
    <s v="Mobile"/>
    <n v="12882"/>
    <n v="376"/>
    <n v="11"/>
    <n v="878.86"/>
    <n v="977.36"/>
    <n v="2.9188014283496353E-2"/>
    <n v="2.9255319148936171E-2"/>
    <n v="79.896363636363631"/>
    <n v="98.5"/>
    <n v="0.11207700885237694"/>
  </r>
  <r>
    <d v="2025-02-12T00:00:00"/>
    <x v="521"/>
    <x v="13"/>
    <x v="2"/>
    <x v="0"/>
    <x v="0"/>
    <s v="Mobile"/>
    <n v="3878"/>
    <n v="204"/>
    <n v="3"/>
    <n v="1350.78"/>
    <n v="345.2"/>
    <n v="5.260443527591542E-2"/>
    <n v="1.4705882352941176E-2"/>
    <n v="450.26"/>
    <n v="-1005.5799999999999"/>
    <n v="-0.74444395090244153"/>
  </r>
  <r>
    <d v="2025-02-12T00:00:00"/>
    <x v="522"/>
    <x v="9"/>
    <x v="4"/>
    <x v="0"/>
    <x v="2"/>
    <s v="Desktop"/>
    <n v="2198"/>
    <n v="190"/>
    <n v="32"/>
    <n v="84.74"/>
    <n v="4712.53"/>
    <n v="8.6442220200181982E-2"/>
    <n v="0.16842105263157894"/>
    <n v="2.6481249999999998"/>
    <n v="4627.79"/>
    <n v="54.611635591220207"/>
  </r>
  <r>
    <d v="2025-02-12T00:00:00"/>
    <x v="523"/>
    <x v="11"/>
    <x v="1"/>
    <x v="2"/>
    <x v="0"/>
    <s v="Mobile"/>
    <n v="14581"/>
    <n v="452"/>
    <n v="19"/>
    <n v="483.87"/>
    <n v="1143.68"/>
    <n v="3.0999245593580686E-2"/>
    <n v="4.2035398230088498E-2"/>
    <n v="25.466842105263158"/>
    <n v="659.81000000000006"/>
    <n v="1.3636100605534545"/>
  </r>
  <r>
    <d v="2025-02-12T00:00:00"/>
    <x v="524"/>
    <x v="3"/>
    <x v="2"/>
    <x v="2"/>
    <x v="3"/>
    <s v="Mobile"/>
    <n v="2504"/>
    <n v="128"/>
    <n v="2"/>
    <n v="718.13"/>
    <n v="334.13"/>
    <n v="5.1118210862619806E-2"/>
    <n v="1.5625E-2"/>
    <n v="359.065"/>
    <n v="-384"/>
    <n v="-0.53472212552044895"/>
  </r>
  <r>
    <d v="2025-02-13T00:00:00"/>
    <x v="525"/>
    <x v="6"/>
    <x v="3"/>
    <x v="0"/>
    <x v="2"/>
    <s v="Mobile"/>
    <n v="30776"/>
    <n v="233"/>
    <n v="3"/>
    <n v="212.7"/>
    <n v="223"/>
    <n v="7.5708344164283859E-3"/>
    <n v="1.2875536480686695E-2"/>
    <n v="70.899999999999991"/>
    <n v="10.300000000000011"/>
    <n v="4.8425011753643686E-2"/>
  </r>
  <r>
    <d v="2025-02-13T00:00:00"/>
    <x v="526"/>
    <x v="4"/>
    <x v="3"/>
    <x v="2"/>
    <x v="2"/>
    <s v="Desktop"/>
    <n v="23538"/>
    <n v="353"/>
    <n v="8"/>
    <n v="425.22"/>
    <n v="357.78"/>
    <n v="1.4997026085478799E-2"/>
    <n v="2.2662889518413599E-2"/>
    <n v="53.152500000000003"/>
    <n v="-67.440000000000055"/>
    <n v="-0.15860025398617197"/>
  </r>
  <r>
    <d v="2025-02-13T00:00:00"/>
    <x v="527"/>
    <x v="19"/>
    <x v="4"/>
    <x v="0"/>
    <x v="1"/>
    <s v="Desktop"/>
    <n v="4049"/>
    <n v="501"/>
    <n v="82"/>
    <n v="118.52"/>
    <n v="8853.7800000000007"/>
    <n v="0.12373425537169672"/>
    <n v="0.16367265469061876"/>
    <n v="1.4453658536585365"/>
    <n v="8735.26"/>
    <n v="73.702834964562953"/>
  </r>
  <r>
    <d v="2025-02-13T00:00:00"/>
    <x v="528"/>
    <x v="16"/>
    <x v="2"/>
    <x v="0"/>
    <x v="1"/>
    <s v="Desktop"/>
    <n v="4941"/>
    <n v="192"/>
    <n v="3"/>
    <n v="1034.6300000000001"/>
    <n v="459.44"/>
    <n v="3.8858530661809353E-2"/>
    <n v="1.5625E-2"/>
    <n v="344.87666666666672"/>
    <n v="-575.19000000000005"/>
    <n v="-0.55593787150962182"/>
  </r>
  <r>
    <d v="2025-02-13T00:00:00"/>
    <x v="529"/>
    <x v="15"/>
    <x v="1"/>
    <x v="1"/>
    <x v="1"/>
    <s v="Mobile"/>
    <n v="9896"/>
    <n v="380"/>
    <n v="7"/>
    <n v="599.80999999999995"/>
    <n v="614.24"/>
    <n v="3.839935327405012E-2"/>
    <n v="1.8421052631578946E-2"/>
    <n v="85.687142857142845"/>
    <n v="14.430000000000064"/>
    <n v="2.4057618245777939E-2"/>
  </r>
  <r>
    <d v="2025-02-14T00:00:00"/>
    <x v="530"/>
    <x v="11"/>
    <x v="1"/>
    <x v="2"/>
    <x v="0"/>
    <s v="Desktop"/>
    <n v="15210"/>
    <n v="437"/>
    <n v="24"/>
    <n v="676.49"/>
    <n v="2163.12"/>
    <n v="2.8731097961867194E-2"/>
    <n v="5.4919908466819219E-2"/>
    <n v="28.187083333333334"/>
    <n v="1486.6299999999999"/>
    <n v="2.1975638959925496"/>
  </r>
  <r>
    <d v="2025-02-14T00:00:00"/>
    <x v="531"/>
    <x v="3"/>
    <x v="2"/>
    <x v="2"/>
    <x v="4"/>
    <s v="Mobile"/>
    <n v="2764"/>
    <n v="82"/>
    <n v="2"/>
    <n v="469.74"/>
    <n v="263.70999999999998"/>
    <n v="2.9667149059334298E-2"/>
    <n v="2.4390243902439025E-2"/>
    <n v="234.87"/>
    <n v="-206.03000000000003"/>
    <n v="-0.43860433431259849"/>
  </r>
  <r>
    <d v="2025-02-14T00:00:00"/>
    <x v="532"/>
    <x v="2"/>
    <x v="1"/>
    <x v="2"/>
    <x v="4"/>
    <s v="Mobile"/>
    <n v="16583"/>
    <n v="515"/>
    <n v="16"/>
    <n v="533.21"/>
    <n v="1186.02"/>
    <n v="3.1055900621118012E-2"/>
    <n v="3.1067961165048542E-2"/>
    <n v="33.325625000000002"/>
    <n v="652.80999999999995"/>
    <n v="1.2243018698073929"/>
  </r>
  <r>
    <d v="2025-02-14T00:00:00"/>
    <x v="533"/>
    <x v="5"/>
    <x v="4"/>
    <x v="2"/>
    <x v="3"/>
    <s v="Desktop"/>
    <n v="4662"/>
    <n v="557"/>
    <n v="111"/>
    <n v="153.86000000000001"/>
    <n v="9941.56"/>
    <n v="0.11947661947661947"/>
    <n v="0.1992818671454219"/>
    <n v="1.3861261261261262"/>
    <n v="9787.6999999999989"/>
    <n v="63.614324710776017"/>
  </r>
  <r>
    <d v="2025-02-14T00:00:00"/>
    <x v="534"/>
    <x v="18"/>
    <x v="4"/>
    <x v="0"/>
    <x v="1"/>
    <s v="Mobile"/>
    <n v="3264"/>
    <n v="444"/>
    <n v="33"/>
    <n v="115.49"/>
    <n v="2850.6"/>
    <n v="0.13602941176470587"/>
    <n v="7.4324324324324328E-2"/>
    <n v="3.4996969696969695"/>
    <n v="2735.11"/>
    <n v="23.68265650705689"/>
  </r>
  <r>
    <d v="2025-02-14T00:00:00"/>
    <x v="535"/>
    <x v="13"/>
    <x v="2"/>
    <x v="2"/>
    <x v="1"/>
    <s v="Mobile"/>
    <n v="2930"/>
    <n v="79"/>
    <n v="2"/>
    <n v="338.96"/>
    <n v="387.67"/>
    <n v="2.6962457337883959E-2"/>
    <n v="2.5316455696202531E-2"/>
    <n v="169.48"/>
    <n v="48.710000000000036"/>
    <n v="0.14370427189048868"/>
  </r>
  <r>
    <d v="2025-02-14T00:00:00"/>
    <x v="536"/>
    <x v="18"/>
    <x v="4"/>
    <x v="2"/>
    <x v="1"/>
    <s v="Mobile"/>
    <n v="4500"/>
    <n v="524"/>
    <n v="62"/>
    <n v="251.35"/>
    <n v="8346.64"/>
    <n v="0.11644444444444445"/>
    <n v="0.1183206106870229"/>
    <n v="4.0540322580645158"/>
    <n v="8095.2899999999991"/>
    <n v="32.207240899144615"/>
  </r>
  <r>
    <d v="2025-02-14T00:00:00"/>
    <x v="537"/>
    <x v="14"/>
    <x v="1"/>
    <x v="0"/>
    <x v="3"/>
    <s v="Mobile"/>
    <n v="12107"/>
    <n v="459"/>
    <n v="8"/>
    <n v="528.55999999999995"/>
    <n v="751.39"/>
    <n v="3.7911951763442635E-2"/>
    <n v="1.7429193899782137E-2"/>
    <n v="66.069999999999993"/>
    <n v="222.83000000000004"/>
    <n v="0.42157938550022717"/>
  </r>
  <r>
    <d v="2025-02-15T00:00:00"/>
    <x v="538"/>
    <x v="3"/>
    <x v="2"/>
    <x v="0"/>
    <x v="3"/>
    <s v="Desktop"/>
    <n v="5130"/>
    <n v="136"/>
    <n v="3"/>
    <n v="957.32"/>
    <n v="45.11"/>
    <n v="2.6510721247563353E-2"/>
    <n v="2.2058823529411766E-2"/>
    <n v="319.10666666666668"/>
    <n v="-912.21"/>
    <n v="-0.95287887017925044"/>
  </r>
  <r>
    <d v="2025-02-15T00:00:00"/>
    <x v="539"/>
    <x v="2"/>
    <x v="1"/>
    <x v="0"/>
    <x v="1"/>
    <s v="Mobile"/>
    <n v="8144"/>
    <n v="310"/>
    <n v="8"/>
    <n v="499.82"/>
    <n v="431.26"/>
    <n v="3.806483300589391E-2"/>
    <n v="2.5806451612903226E-2"/>
    <n v="62.477499999999999"/>
    <n v="-68.56"/>
    <n v="-0.13716938097715178"/>
  </r>
  <r>
    <d v="2025-02-15T00:00:00"/>
    <x v="540"/>
    <x v="11"/>
    <x v="1"/>
    <x v="2"/>
    <x v="3"/>
    <s v="Desktop"/>
    <n v="17133"/>
    <n v="669"/>
    <n v="35"/>
    <n v="924.25"/>
    <n v="2263.1999999999998"/>
    <n v="3.9047452285063913E-2"/>
    <n v="5.2316890881913304E-2"/>
    <n v="26.407142857142858"/>
    <n v="1338.9499999999998"/>
    <n v="1.4486881255071677"/>
  </r>
  <r>
    <d v="2025-02-15T00:00:00"/>
    <x v="541"/>
    <x v="11"/>
    <x v="1"/>
    <x v="1"/>
    <x v="3"/>
    <s v="Desktop"/>
    <n v="9198"/>
    <n v="230"/>
    <n v="4"/>
    <n v="335.75"/>
    <n v="343"/>
    <n v="2.5005435964340073E-2"/>
    <n v="1.7391304347826087E-2"/>
    <n v="83.9375"/>
    <n v="7.25"/>
    <n v="2.1593447505584513E-2"/>
  </r>
  <r>
    <d v="2025-02-15T00:00:00"/>
    <x v="542"/>
    <x v="14"/>
    <x v="1"/>
    <x v="2"/>
    <x v="4"/>
    <s v="Desktop"/>
    <n v="17328"/>
    <n v="582"/>
    <n v="22"/>
    <n v="755.81"/>
    <n v="2175.29"/>
    <n v="3.358725761772853E-2"/>
    <n v="3.7800687285223365E-2"/>
    <n v="34.354999999999997"/>
    <n v="1419.48"/>
    <n v="1.8780910546301322"/>
  </r>
  <r>
    <d v="2025-02-15T00:00:00"/>
    <x v="543"/>
    <x v="10"/>
    <x v="3"/>
    <x v="2"/>
    <x v="4"/>
    <s v="Desktop"/>
    <n v="22815"/>
    <n v="691"/>
    <n v="17"/>
    <n v="620.04999999999995"/>
    <n v="1472.65"/>
    <n v="3.0287091825553364E-2"/>
    <n v="2.4602026049204053E-2"/>
    <n v="36.473529411764702"/>
    <n v="852.60000000000014"/>
    <n v="1.3750503991613583"/>
  </r>
  <r>
    <d v="2025-02-15T00:00:00"/>
    <x v="544"/>
    <x v="17"/>
    <x v="0"/>
    <x v="1"/>
    <x v="2"/>
    <s v="Desktop"/>
    <n v="12915"/>
    <n v="504"/>
    <n v="7"/>
    <n v="1107.1099999999999"/>
    <n v="589.61"/>
    <n v="3.9024390243902439E-2"/>
    <n v="1.3888888888888888E-2"/>
    <n v="158.15857142857141"/>
    <n v="-517.49999999999989"/>
    <n v="-0.46743322705060919"/>
  </r>
  <r>
    <d v="2025-02-15T00:00:00"/>
    <x v="545"/>
    <x v="19"/>
    <x v="4"/>
    <x v="1"/>
    <x v="1"/>
    <s v="Mobile"/>
    <n v="2788"/>
    <n v="320"/>
    <n v="25"/>
    <n v="149.1"/>
    <n v="3411.3"/>
    <n v="0.11477761836441894"/>
    <n v="7.8125E-2"/>
    <n v="5.9639999999999995"/>
    <n v="3262.2000000000003"/>
    <n v="21.879275653923543"/>
  </r>
  <r>
    <d v="2025-02-15T00:00:00"/>
    <x v="546"/>
    <x v="6"/>
    <x v="3"/>
    <x v="0"/>
    <x v="1"/>
    <s v="Mobile"/>
    <n v="21942"/>
    <n v="422"/>
    <n v="6"/>
    <n v="598.20000000000005"/>
    <n v="345.01"/>
    <n v="1.9232522103728011E-2"/>
    <n v="1.4218009478672985E-2"/>
    <n v="99.7"/>
    <n v="-253.19000000000005"/>
    <n v="-0.42325309261116689"/>
  </r>
  <r>
    <d v="2025-02-15T00:00:00"/>
    <x v="547"/>
    <x v="8"/>
    <x v="3"/>
    <x v="1"/>
    <x v="4"/>
    <s v="Mobile"/>
    <n v="28805"/>
    <n v="618"/>
    <n v="4"/>
    <n v="852.61"/>
    <n v="81.77"/>
    <n v="2.145460857490019E-2"/>
    <n v="6.4724919093851136E-3"/>
    <n v="213.1525"/>
    <n v="-770.84"/>
    <n v="-0.90409448634193834"/>
  </r>
  <r>
    <d v="2025-02-15T00:00:00"/>
    <x v="548"/>
    <x v="6"/>
    <x v="3"/>
    <x v="0"/>
    <x v="4"/>
    <s v="Desktop"/>
    <n v="28359"/>
    <n v="453"/>
    <n v="7"/>
    <n v="348.52"/>
    <n v="516.23"/>
    <n v="1.5973764942346345E-2"/>
    <n v="1.5452538631346579E-2"/>
    <n v="49.788571428571423"/>
    <n v="167.71000000000004"/>
    <n v="0.48120624354412961"/>
  </r>
  <r>
    <d v="2025-02-15T00:00:00"/>
    <x v="549"/>
    <x v="5"/>
    <x v="4"/>
    <x v="1"/>
    <x v="2"/>
    <s v="Mobile"/>
    <n v="3194"/>
    <n v="371"/>
    <n v="32"/>
    <n v="150.63"/>
    <n v="3954.18"/>
    <n v="0.11615529117094553"/>
    <n v="8.6253369272237201E-2"/>
    <n v="4.7071874999999999"/>
    <n v="3803.5499999999997"/>
    <n v="25.25094602668791"/>
  </r>
  <r>
    <d v="2025-02-16T00:00:00"/>
    <x v="550"/>
    <x v="16"/>
    <x v="2"/>
    <x v="1"/>
    <x v="1"/>
    <s v="Desktop"/>
    <n v="6738"/>
    <n v="166"/>
    <n v="2"/>
    <n v="1020.41"/>
    <n v="362.51"/>
    <n v="2.4636390620362124E-2"/>
    <n v="1.2048192771084338E-2"/>
    <n v="510.20499999999998"/>
    <n v="-657.9"/>
    <n v="-0.64474083946648897"/>
  </r>
  <r>
    <d v="2025-02-16T00:00:00"/>
    <x v="551"/>
    <x v="16"/>
    <x v="2"/>
    <x v="0"/>
    <x v="1"/>
    <s v="Mobile"/>
    <n v="2161"/>
    <n v="103"/>
    <n v="2"/>
    <n v="495.07"/>
    <n v="306.68"/>
    <n v="4.766311892642295E-2"/>
    <n v="1.9417475728155338E-2"/>
    <n v="247.535"/>
    <n v="-188.39"/>
    <n v="-0.38053204597329671"/>
  </r>
  <r>
    <d v="2025-02-16T00:00:00"/>
    <x v="552"/>
    <x v="5"/>
    <x v="4"/>
    <x v="1"/>
    <x v="0"/>
    <s v="Desktop"/>
    <n v="1704"/>
    <n v="120"/>
    <n v="10"/>
    <n v="24.69"/>
    <n v="1047.53"/>
    <n v="7.0422535211267609E-2"/>
    <n v="8.3333333333333329E-2"/>
    <n v="2.4690000000000003"/>
    <n v="1022.8399999999999"/>
    <n v="41.427298501417575"/>
  </r>
  <r>
    <d v="2025-02-16T00:00:00"/>
    <x v="553"/>
    <x v="18"/>
    <x v="4"/>
    <x v="2"/>
    <x v="3"/>
    <s v="Desktop"/>
    <n v="2608"/>
    <n v="247"/>
    <n v="51"/>
    <n v="65.08"/>
    <n v="7014.24"/>
    <n v="9.4708588957055209E-2"/>
    <n v="0.20647773279352227"/>
    <n v="1.2760784313725491"/>
    <n v="6949.16"/>
    <n v="106.77873386601107"/>
  </r>
  <r>
    <d v="2025-02-16T00:00:00"/>
    <x v="554"/>
    <x v="1"/>
    <x v="0"/>
    <x v="0"/>
    <x v="3"/>
    <s v="Tablet"/>
    <n v="6653"/>
    <n v="244"/>
    <n v="11"/>
    <n v="673.16"/>
    <n v="855.38"/>
    <n v="3.6675184127461298E-2"/>
    <n v="4.5081967213114756E-2"/>
    <n v="61.196363636363635"/>
    <n v="182.22000000000003"/>
    <n v="0.2706934458375424"/>
  </r>
  <r>
    <d v="2025-02-16T00:00:00"/>
    <x v="555"/>
    <x v="14"/>
    <x v="1"/>
    <x v="2"/>
    <x v="0"/>
    <s v="Mobile"/>
    <n v="14401"/>
    <n v="636"/>
    <n v="20"/>
    <n v="1120.42"/>
    <n v="1086.19"/>
    <n v="4.4163599750017359E-2"/>
    <n v="3.1446540880503145E-2"/>
    <n v="56.021000000000001"/>
    <n v="-34.230000000000018"/>
    <n v="-3.0551043358740485E-2"/>
  </r>
  <r>
    <d v="2025-02-16T00:00:00"/>
    <x v="556"/>
    <x v="1"/>
    <x v="0"/>
    <x v="0"/>
    <x v="2"/>
    <s v="Desktop"/>
    <n v="11136"/>
    <n v="366"/>
    <n v="13"/>
    <n v="612.32000000000005"/>
    <n v="1012.99"/>
    <n v="3.2866379310344827E-2"/>
    <n v="3.5519125683060107E-2"/>
    <n v="47.101538461538468"/>
    <n v="400.66999999999996"/>
    <n v="0.65434740005226011"/>
  </r>
  <r>
    <d v="2025-02-16T00:00:00"/>
    <x v="557"/>
    <x v="10"/>
    <x v="3"/>
    <x v="1"/>
    <x v="0"/>
    <s v="Mobile"/>
    <n v="18202"/>
    <n v="377"/>
    <n v="4"/>
    <n v="492.79"/>
    <n v="219.4"/>
    <n v="2.0712009669267114E-2"/>
    <n v="1.0610079575596816E-2"/>
    <n v="123.19750000000001"/>
    <n v="-273.39"/>
    <n v="-0.55477992654071706"/>
  </r>
  <r>
    <d v="2025-02-16T00:00:00"/>
    <x v="558"/>
    <x v="17"/>
    <x v="0"/>
    <x v="0"/>
    <x v="2"/>
    <s v="Desktop"/>
    <n v="12111"/>
    <n v="501"/>
    <n v="18"/>
    <n v="1334.62"/>
    <n v="2110.0700000000002"/>
    <n v="4.1367351994054995E-2"/>
    <n v="3.5928143712574849E-2"/>
    <n v="74.145555555555546"/>
    <n v="775.45000000000027"/>
    <n v="0.58102680912919058"/>
  </r>
  <r>
    <d v="2025-02-16T00:00:00"/>
    <x v="559"/>
    <x v="6"/>
    <x v="3"/>
    <x v="2"/>
    <x v="2"/>
    <s v="Mobile"/>
    <n v="29972"/>
    <n v="609"/>
    <n v="9"/>
    <n v="567.96"/>
    <n v="682.12"/>
    <n v="2.0318964366742291E-2"/>
    <n v="1.4778325123152709E-2"/>
    <n v="63.106666666666669"/>
    <n v="114.15999999999997"/>
    <n v="0.20100007042749482"/>
  </r>
  <r>
    <d v="2025-02-17T00:00:00"/>
    <x v="560"/>
    <x v="7"/>
    <x v="2"/>
    <x v="2"/>
    <x v="0"/>
    <s v="Desktop"/>
    <n v="3740"/>
    <n v="174"/>
    <n v="5"/>
    <n v="842.91"/>
    <n v="1039.96"/>
    <n v="4.6524064171122995E-2"/>
    <n v="2.8735632183908046E-2"/>
    <n v="168.58199999999999"/>
    <n v="197.05000000000007"/>
    <n v="0.23377347522274036"/>
  </r>
  <r>
    <d v="2025-02-17T00:00:00"/>
    <x v="561"/>
    <x v="9"/>
    <x v="4"/>
    <x v="2"/>
    <x v="0"/>
    <s v="Mobile"/>
    <n v="1110"/>
    <n v="172"/>
    <n v="37"/>
    <n v="35.68"/>
    <n v="5374.01"/>
    <n v="0.15495495495495495"/>
    <n v="0.21511627906976744"/>
    <n v="0.96432432432432436"/>
    <n v="5338.33"/>
    <n v="149.61687219730942"/>
  </r>
  <r>
    <d v="2025-02-17T00:00:00"/>
    <x v="562"/>
    <x v="2"/>
    <x v="1"/>
    <x v="1"/>
    <x v="1"/>
    <s v="Mobile"/>
    <n v="8435"/>
    <n v="309"/>
    <n v="4"/>
    <n v="324.62"/>
    <n v="363.93"/>
    <n v="3.6633076467101365E-2"/>
    <n v="1.2944983818770227E-2"/>
    <n v="81.155000000000001"/>
    <n v="39.31"/>
    <n v="0.12109543466206642"/>
  </r>
  <r>
    <d v="2025-02-17T00:00:00"/>
    <x v="563"/>
    <x v="5"/>
    <x v="4"/>
    <x v="2"/>
    <x v="0"/>
    <s v="Mobile"/>
    <n v="3872"/>
    <n v="449"/>
    <n v="55"/>
    <n v="187.71"/>
    <n v="5995.49"/>
    <n v="0.11596074380165289"/>
    <n v="0.12249443207126949"/>
    <n v="3.4129090909090909"/>
    <n v="5807.78"/>
    <n v="30.940173672153851"/>
  </r>
  <r>
    <d v="2025-02-17T00:00:00"/>
    <x v="564"/>
    <x v="13"/>
    <x v="2"/>
    <x v="1"/>
    <x v="1"/>
    <s v="Mobile"/>
    <n v="3374"/>
    <n v="158"/>
    <n v="2"/>
    <n v="703.61"/>
    <n v="80.83"/>
    <n v="4.6828689982216953E-2"/>
    <n v="1.2658227848101266E-2"/>
    <n v="351.80500000000001"/>
    <n v="-622.78"/>
    <n v="-0.88512101874618032"/>
  </r>
  <r>
    <d v="2025-02-17T00:00:00"/>
    <x v="565"/>
    <x v="1"/>
    <x v="0"/>
    <x v="0"/>
    <x v="3"/>
    <s v="Mobile"/>
    <n v="9549"/>
    <n v="655"/>
    <n v="28"/>
    <n v="1621.36"/>
    <n v="2020.5"/>
    <n v="6.8593570007330615E-2"/>
    <n v="4.2748091603053436E-2"/>
    <n v="57.905714285714282"/>
    <n v="399.1400000000001"/>
    <n v="0.24617604973602417"/>
  </r>
  <r>
    <d v="2025-02-17T00:00:00"/>
    <x v="566"/>
    <x v="18"/>
    <x v="4"/>
    <x v="2"/>
    <x v="0"/>
    <s v="Mobile"/>
    <n v="4477"/>
    <n v="457"/>
    <n v="67"/>
    <n v="171.28"/>
    <n v="7697.39"/>
    <n v="0.10207728389546572"/>
    <n v="0.14660831509846828"/>
    <n v="2.5564179104477613"/>
    <n v="7526.1100000000006"/>
    <n v="43.940390004670718"/>
  </r>
  <r>
    <d v="2025-02-17T00:00:00"/>
    <x v="567"/>
    <x v="12"/>
    <x v="0"/>
    <x v="2"/>
    <x v="1"/>
    <s v="Desktop"/>
    <n v="14641"/>
    <n v="920"/>
    <n v="76"/>
    <n v="1919.57"/>
    <n v="8098.93"/>
    <n v="6.2837237893586501E-2"/>
    <n v="8.2608695652173908E-2"/>
    <n v="25.2575"/>
    <n v="6179.3600000000006"/>
    <n v="3.21913761936267"/>
  </r>
  <r>
    <d v="2025-02-17T00:00:00"/>
    <x v="568"/>
    <x v="7"/>
    <x v="2"/>
    <x v="2"/>
    <x v="3"/>
    <s v="Tablet"/>
    <n v="6573"/>
    <n v="270"/>
    <n v="11"/>
    <n v="2274.59"/>
    <n v="2136.0500000000002"/>
    <n v="4.1077133728890915E-2"/>
    <n v="4.0740740740740744E-2"/>
    <n v="206.78090909090909"/>
    <n v="-138.53999999999996"/>
    <n v="-6.0907680065418364E-2"/>
  </r>
  <r>
    <d v="2025-02-17T00:00:00"/>
    <x v="569"/>
    <x v="18"/>
    <x v="4"/>
    <x v="0"/>
    <x v="2"/>
    <s v="Mobile"/>
    <n v="2029"/>
    <n v="317"/>
    <n v="37"/>
    <n v="67.03"/>
    <n v="5408.9"/>
    <n v="0.15623459832429767"/>
    <n v="0.1167192429022082"/>
    <n v="1.8116216216216217"/>
    <n v="5341.87"/>
    <n v="79.693719230195427"/>
  </r>
  <r>
    <d v="2025-02-17T00:00:00"/>
    <x v="570"/>
    <x v="15"/>
    <x v="1"/>
    <x v="0"/>
    <x v="3"/>
    <s v="Desktop"/>
    <n v="9135"/>
    <n v="230"/>
    <n v="7"/>
    <n v="380.98"/>
    <n v="645.16"/>
    <n v="2.5177887246852763E-2"/>
    <n v="3.0434782608695653E-2"/>
    <n v="54.425714285714285"/>
    <n v="264.17999999999995"/>
    <n v="0.69342222688855037"/>
  </r>
  <r>
    <d v="2025-02-17T00:00:00"/>
    <x v="571"/>
    <x v="6"/>
    <x v="3"/>
    <x v="0"/>
    <x v="2"/>
    <s v="Mobile"/>
    <n v="25850"/>
    <n v="793"/>
    <n v="9"/>
    <n v="732.08"/>
    <n v="676.09"/>
    <n v="3.067698259187621E-2"/>
    <n v="1.1349306431273645E-2"/>
    <n v="81.342222222222233"/>
    <n v="-55.990000000000009"/>
    <n v="-7.648071249043821E-2"/>
  </r>
  <r>
    <d v="2025-02-17T00:00:00"/>
    <x v="572"/>
    <x v="12"/>
    <x v="0"/>
    <x v="2"/>
    <x v="1"/>
    <s v="Mobile"/>
    <n v="5164"/>
    <n v="360"/>
    <n v="22"/>
    <n v="568.55999999999995"/>
    <n v="2092.4899999999998"/>
    <n v="6.9713400464756006E-2"/>
    <n v="6.1111111111111109E-2"/>
    <n v="25.84363636363636"/>
    <n v="1523.9299999999998"/>
    <n v="2.6803327705079498"/>
  </r>
  <r>
    <d v="2025-02-17T00:00:00"/>
    <x v="573"/>
    <x v="16"/>
    <x v="2"/>
    <x v="0"/>
    <x v="1"/>
    <s v="Desktop"/>
    <n v="3981"/>
    <n v="168"/>
    <n v="3"/>
    <n v="1386.17"/>
    <n v="447.07"/>
    <n v="4.220045214770158E-2"/>
    <n v="1.7857142857142856E-2"/>
    <n v="462.05666666666667"/>
    <n v="-939.10000000000014"/>
    <n v="-0.6774782313857608"/>
  </r>
  <r>
    <d v="2025-02-17T00:00:00"/>
    <x v="574"/>
    <x v="0"/>
    <x v="0"/>
    <x v="2"/>
    <x v="4"/>
    <s v="Mobile"/>
    <n v="8606"/>
    <n v="518"/>
    <n v="35"/>
    <n v="1074.8599999999999"/>
    <n v="3352.21"/>
    <n v="6.0190564722286774E-2"/>
    <n v="6.7567567567567571E-2"/>
    <n v="30.71028571428571"/>
    <n v="2277.3500000000004"/>
    <n v="2.1187410453454407"/>
  </r>
  <r>
    <d v="2025-02-18T00:00:00"/>
    <x v="575"/>
    <x v="7"/>
    <x v="2"/>
    <x v="2"/>
    <x v="1"/>
    <s v="Desktop"/>
    <n v="6751"/>
    <n v="257"/>
    <n v="8"/>
    <n v="2039.82"/>
    <n v="1386.47"/>
    <n v="3.8068434306028735E-2"/>
    <n v="3.1128404669260701E-2"/>
    <n v="254.97749999999999"/>
    <n v="-653.34999999999991"/>
    <n v="-0.32029786941985072"/>
  </r>
  <r>
    <d v="2025-02-18T00:00:00"/>
    <x v="576"/>
    <x v="7"/>
    <x v="2"/>
    <x v="2"/>
    <x v="4"/>
    <s v="Desktop"/>
    <n v="3581"/>
    <n v="91"/>
    <n v="3"/>
    <n v="627.84"/>
    <n v="633.74"/>
    <n v="2.541189611840268E-2"/>
    <n v="3.2967032967032968E-2"/>
    <n v="209.28"/>
    <n v="5.8999999999999773"/>
    <n v="9.3972986748215737E-3"/>
  </r>
  <r>
    <d v="2025-02-18T00:00:00"/>
    <x v="577"/>
    <x v="8"/>
    <x v="3"/>
    <x v="1"/>
    <x v="4"/>
    <s v="Desktop"/>
    <n v="16840"/>
    <n v="396"/>
    <n v="4"/>
    <n v="538.20000000000005"/>
    <n v="24.13"/>
    <n v="2.3515439429928741E-2"/>
    <n v="1.0101010101010102E-2"/>
    <n v="134.55000000000001"/>
    <n v="-514.07000000000005"/>
    <n v="-0.9551653660349313"/>
  </r>
  <r>
    <d v="2025-02-18T00:00:00"/>
    <x v="578"/>
    <x v="13"/>
    <x v="2"/>
    <x v="2"/>
    <x v="4"/>
    <s v="Mobile"/>
    <n v="3015"/>
    <n v="117"/>
    <n v="2"/>
    <n v="455.23"/>
    <n v="254.66"/>
    <n v="3.880597014925373E-2"/>
    <n v="1.7094017094017096E-2"/>
    <n v="227.61500000000001"/>
    <n v="-200.57000000000002"/>
    <n v="-0.44059047075104896"/>
  </r>
  <r>
    <d v="2025-02-18T00:00:00"/>
    <x v="579"/>
    <x v="15"/>
    <x v="1"/>
    <x v="2"/>
    <x v="3"/>
    <s v="Desktop"/>
    <n v="17097"/>
    <n v="667"/>
    <n v="30"/>
    <n v="1000.03"/>
    <n v="2522.44"/>
    <n v="3.9012692285196236E-2"/>
    <n v="4.4977511244377814E-2"/>
    <n v="33.334333333333333"/>
    <n v="1522.41"/>
    <n v="1.5223643290701281"/>
  </r>
  <r>
    <d v="2025-02-18T00:00:00"/>
    <x v="580"/>
    <x v="4"/>
    <x v="3"/>
    <x v="0"/>
    <x v="4"/>
    <s v="Mobile"/>
    <n v="35897"/>
    <n v="337"/>
    <n v="7"/>
    <n v="373.84"/>
    <n v="455.49"/>
    <n v="9.3879711396495525E-3"/>
    <n v="2.0771513353115726E-2"/>
    <n v="53.405714285714282"/>
    <n v="81.650000000000034"/>
    <n v="0.21840894500321004"/>
  </r>
  <r>
    <d v="2025-02-18T00:00:00"/>
    <x v="581"/>
    <x v="7"/>
    <x v="2"/>
    <x v="2"/>
    <x v="4"/>
    <s v="Mobile"/>
    <n v="3288"/>
    <n v="181"/>
    <n v="3"/>
    <n v="1185.1400000000001"/>
    <n v="392.4"/>
    <n v="5.504866180048662E-2"/>
    <n v="1.6574585635359115E-2"/>
    <n v="395.04666666666668"/>
    <n v="-792.74000000000012"/>
    <n v="-0.66889987680780338"/>
  </r>
  <r>
    <d v="2025-02-18T00:00:00"/>
    <x v="582"/>
    <x v="5"/>
    <x v="4"/>
    <x v="0"/>
    <x v="3"/>
    <s v="Desktop"/>
    <n v="3576"/>
    <n v="419"/>
    <n v="72"/>
    <n v="102.52"/>
    <n v="8561.82"/>
    <n v="0.11717002237136466"/>
    <n v="0.17183770883054891"/>
    <n v="1.4238888888888888"/>
    <n v="8459.2999999999993"/>
    <n v="82.51365587202497"/>
  </r>
  <r>
    <d v="2025-02-18T00:00:00"/>
    <x v="583"/>
    <x v="12"/>
    <x v="0"/>
    <x v="2"/>
    <x v="3"/>
    <s v="Mobile"/>
    <n v="7227"/>
    <n v="370"/>
    <n v="25"/>
    <n v="868.03"/>
    <n v="2285.4299999999998"/>
    <n v="5.1196900511969005E-2"/>
    <n v="6.7567567567567571E-2"/>
    <n v="34.721199999999996"/>
    <n v="1417.3999999999999"/>
    <n v="1.6328928723661624"/>
  </r>
  <r>
    <d v="2025-02-18T00:00:00"/>
    <x v="584"/>
    <x v="17"/>
    <x v="0"/>
    <x v="0"/>
    <x v="0"/>
    <s v="Mobile"/>
    <n v="5273"/>
    <n v="194"/>
    <n v="6"/>
    <n v="452.11"/>
    <n v="584.47"/>
    <n v="3.6791200455148873E-2"/>
    <n v="3.0927835051546393E-2"/>
    <n v="75.351666666666674"/>
    <n v="132.36000000000001"/>
    <n v="0.29276061135564357"/>
  </r>
  <r>
    <d v="2025-02-18T00:00:00"/>
    <x v="585"/>
    <x v="14"/>
    <x v="1"/>
    <x v="0"/>
    <x v="2"/>
    <s v="Desktop"/>
    <n v="11616"/>
    <n v="385"/>
    <n v="13"/>
    <n v="433.31"/>
    <n v="1029.45"/>
    <n v="3.3143939393939392E-2"/>
    <n v="3.3766233766233764E-2"/>
    <n v="33.331538461538464"/>
    <n v="596.1400000000001"/>
    <n v="1.3757817728646928"/>
  </r>
  <r>
    <d v="2025-02-19T00:00:00"/>
    <x v="586"/>
    <x v="2"/>
    <x v="1"/>
    <x v="2"/>
    <x v="1"/>
    <s v="Tablet"/>
    <n v="14393"/>
    <n v="487"/>
    <n v="21"/>
    <n v="858.38"/>
    <n v="2051.44"/>
    <n v="3.383589244771764E-2"/>
    <n v="4.3121149897330596E-2"/>
    <n v="40.875238095238096"/>
    <n v="1193.06"/>
    <n v="1.3898972483049465"/>
  </r>
  <r>
    <d v="2025-02-19T00:00:00"/>
    <x v="587"/>
    <x v="3"/>
    <x v="2"/>
    <x v="0"/>
    <x v="1"/>
    <s v="Desktop"/>
    <n v="3620"/>
    <n v="126"/>
    <n v="3"/>
    <n v="718.43"/>
    <n v="32.590000000000003"/>
    <n v="3.4806629834254144E-2"/>
    <n v="2.3809523809523808E-2"/>
    <n v="239.47666666666666"/>
    <n v="-685.83999999999992"/>
    <n v="-0.95463719499464106"/>
  </r>
  <r>
    <d v="2025-02-19T00:00:00"/>
    <x v="588"/>
    <x v="0"/>
    <x v="0"/>
    <x v="2"/>
    <x v="1"/>
    <s v="Mobile"/>
    <n v="13448"/>
    <n v="896"/>
    <n v="65"/>
    <n v="1578.42"/>
    <n v="5600.79"/>
    <n v="6.6627007733491964E-2"/>
    <n v="7.2544642857142863E-2"/>
    <n v="24.283384615384616"/>
    <n v="4022.37"/>
    <n v="2.5483521496179722"/>
  </r>
  <r>
    <d v="2025-02-19T00:00:00"/>
    <x v="589"/>
    <x v="15"/>
    <x v="1"/>
    <x v="1"/>
    <x v="2"/>
    <s v="Mobile"/>
    <n v="11296"/>
    <n v="342"/>
    <n v="6"/>
    <n v="391.67"/>
    <n v="330.94"/>
    <n v="3.0276203966005666E-2"/>
    <n v="1.7543859649122806E-2"/>
    <n v="65.278333333333336"/>
    <n v="-60.730000000000018"/>
    <n v="-0.15505399954042948"/>
  </r>
  <r>
    <d v="2025-02-19T00:00:00"/>
    <x v="590"/>
    <x v="5"/>
    <x v="4"/>
    <x v="0"/>
    <x v="3"/>
    <s v="Mobile"/>
    <n v="3592"/>
    <n v="512"/>
    <n v="68"/>
    <n v="178.79"/>
    <n v="8419.82"/>
    <n v="0.14253897550111358"/>
    <n v="0.1328125"/>
    <n v="2.6292647058823526"/>
    <n v="8241.0299999999988"/>
    <n v="46.093349739918338"/>
  </r>
  <r>
    <d v="2025-02-19T00:00:00"/>
    <x v="591"/>
    <x v="5"/>
    <x v="4"/>
    <x v="1"/>
    <x v="0"/>
    <s v="Tablet"/>
    <n v="3504"/>
    <n v="304"/>
    <n v="29"/>
    <n v="126.48"/>
    <n v="2503.91"/>
    <n v="8.6757990867579904E-2"/>
    <n v="9.5394736842105268E-2"/>
    <n v="4.3613793103448275"/>
    <n v="2377.4299999999998"/>
    <n v="18.796884882985449"/>
  </r>
  <r>
    <d v="2025-02-20T00:00:00"/>
    <x v="592"/>
    <x v="1"/>
    <x v="0"/>
    <x v="2"/>
    <x v="2"/>
    <s v="Mobile"/>
    <n v="6543"/>
    <n v="466"/>
    <n v="30"/>
    <n v="1129.8699999999999"/>
    <n v="3644.37"/>
    <n v="7.1221152376585661E-2"/>
    <n v="6.4377682403433473E-2"/>
    <n v="37.662333333333329"/>
    <n v="2514.5"/>
    <n v="2.2254772672962377"/>
  </r>
  <r>
    <d v="2025-02-20T00:00:00"/>
    <x v="593"/>
    <x v="17"/>
    <x v="0"/>
    <x v="1"/>
    <x v="3"/>
    <s v="Mobile"/>
    <n v="10946"/>
    <n v="553"/>
    <n v="14"/>
    <n v="1288.79"/>
    <n v="805.45"/>
    <n v="5.0520738169194224E-2"/>
    <n v="2.5316455696202531E-2"/>
    <n v="92.056428571428569"/>
    <n v="-483.33999999999992"/>
    <n v="-0.37503394657003852"/>
  </r>
  <r>
    <d v="2025-02-20T00:00:00"/>
    <x v="594"/>
    <x v="16"/>
    <x v="2"/>
    <x v="0"/>
    <x v="0"/>
    <s v="Mobile"/>
    <n v="2850"/>
    <n v="153"/>
    <n v="2"/>
    <n v="648.37"/>
    <n v="312.77"/>
    <n v="5.3684210526315793E-2"/>
    <n v="1.3071895424836602E-2"/>
    <n v="324.185"/>
    <n v="-335.6"/>
    <n v="-0.51760568811018404"/>
  </r>
  <r>
    <d v="2025-02-20T00:00:00"/>
    <x v="595"/>
    <x v="17"/>
    <x v="0"/>
    <x v="0"/>
    <x v="3"/>
    <s v="Mobile"/>
    <n v="8341"/>
    <n v="352"/>
    <n v="13"/>
    <n v="1022.63"/>
    <n v="1448.11"/>
    <n v="4.220117491907445E-2"/>
    <n v="3.6931818181818184E-2"/>
    <n v="78.663846153846151"/>
    <n v="425.4799999999999"/>
    <n v="0.4160644612420914"/>
  </r>
  <r>
    <d v="2025-02-20T00:00:00"/>
    <x v="596"/>
    <x v="11"/>
    <x v="1"/>
    <x v="2"/>
    <x v="3"/>
    <s v="Mobile"/>
    <n v="8373"/>
    <n v="339"/>
    <n v="8"/>
    <n v="695.54"/>
    <n v="682.23"/>
    <n v="4.0487280544607665E-2"/>
    <n v="2.359882005899705E-2"/>
    <n v="86.942499999999995"/>
    <n v="-13.309999999999945"/>
    <n v="-1.9136210713977551E-2"/>
  </r>
  <r>
    <d v="2025-02-20T00:00:00"/>
    <x v="597"/>
    <x v="16"/>
    <x v="2"/>
    <x v="0"/>
    <x v="4"/>
    <s v="Desktop"/>
    <n v="5426"/>
    <n v="180"/>
    <n v="3"/>
    <n v="754"/>
    <n v="535.07000000000005"/>
    <n v="3.3173608551419091E-2"/>
    <n v="1.6666666666666666E-2"/>
    <n v="251.33333333333334"/>
    <n v="-218.92999999999995"/>
    <n v="-0.29035809018567632"/>
  </r>
  <r>
    <d v="2025-02-20T00:00:00"/>
    <x v="598"/>
    <x v="0"/>
    <x v="0"/>
    <x v="1"/>
    <x v="4"/>
    <s v="Mobile"/>
    <n v="12240"/>
    <n v="476"/>
    <n v="11"/>
    <n v="1023.74"/>
    <n v="1087.6600000000001"/>
    <n v="3.888888888888889E-2"/>
    <n v="2.3109243697478993E-2"/>
    <n v="93.067272727272723"/>
    <n v="63.920000000000073"/>
    <n v="6.2437728329458722E-2"/>
  </r>
  <r>
    <d v="2025-02-20T00:00:00"/>
    <x v="599"/>
    <x v="1"/>
    <x v="0"/>
    <x v="0"/>
    <x v="2"/>
    <s v="Mobile"/>
    <n v="9545"/>
    <n v="565"/>
    <n v="15"/>
    <n v="1095"/>
    <n v="1619.29"/>
    <n v="5.9193294918805657E-2"/>
    <n v="2.6548672566371681E-2"/>
    <n v="73"/>
    <n v="524.29"/>
    <n v="0.47880365296803651"/>
  </r>
  <r>
    <d v="2025-02-20T00:00:00"/>
    <x v="600"/>
    <x v="14"/>
    <x v="1"/>
    <x v="2"/>
    <x v="4"/>
    <s v="Desktop"/>
    <n v="9315"/>
    <n v="282"/>
    <n v="12"/>
    <n v="264.7"/>
    <n v="1218.6400000000001"/>
    <n v="3.0273752012882446E-2"/>
    <n v="4.2553191489361701E-2"/>
    <n v="22.058333333333334"/>
    <n v="953.94"/>
    <n v="3.6038534189648663"/>
  </r>
  <r>
    <d v="2025-02-21T00:00:00"/>
    <x v="601"/>
    <x v="16"/>
    <x v="2"/>
    <x v="1"/>
    <x v="3"/>
    <s v="Mobile"/>
    <n v="4236"/>
    <n v="105"/>
    <n v="1"/>
    <n v="655.4"/>
    <n v="172.69"/>
    <n v="2.4787535410764873E-2"/>
    <n v="9.5238095238095247E-3"/>
    <n v="655.4"/>
    <n v="-482.71"/>
    <n v="-0.73651205370765949"/>
  </r>
  <r>
    <d v="2025-02-21T00:00:00"/>
    <x v="602"/>
    <x v="15"/>
    <x v="1"/>
    <x v="0"/>
    <x v="2"/>
    <s v="Desktop"/>
    <n v="10261"/>
    <n v="229"/>
    <n v="9"/>
    <n v="405.97"/>
    <n v="932.91"/>
    <n v="2.2317512912971446E-2"/>
    <n v="3.9301310043668124E-2"/>
    <n v="45.107777777777784"/>
    <n v="526.93999999999994"/>
    <n v="1.2979776830800303"/>
  </r>
  <r>
    <d v="2025-02-21T00:00:00"/>
    <x v="603"/>
    <x v="3"/>
    <x v="2"/>
    <x v="2"/>
    <x v="1"/>
    <s v="Desktop"/>
    <n v="4783"/>
    <n v="158"/>
    <n v="8"/>
    <n v="958.63"/>
    <n v="1317.85"/>
    <n v="3.3033660882291448E-2"/>
    <n v="5.0632911392405063E-2"/>
    <n v="119.82875"/>
    <n v="359.21999999999991"/>
    <n v="0.37472225989172037"/>
  </r>
  <r>
    <d v="2025-02-21T00:00:00"/>
    <x v="604"/>
    <x v="4"/>
    <x v="3"/>
    <x v="1"/>
    <x v="4"/>
    <s v="Mobile"/>
    <n v="36711"/>
    <n v="705"/>
    <n v="8"/>
    <n v="905.37"/>
    <n v="396.6"/>
    <n v="1.9204053281032932E-2"/>
    <n v="1.1347517730496455E-2"/>
    <n v="113.17125"/>
    <n v="-508.77"/>
    <n v="-0.56194704927267303"/>
  </r>
  <r>
    <d v="2025-02-21T00:00:00"/>
    <x v="605"/>
    <x v="4"/>
    <x v="3"/>
    <x v="2"/>
    <x v="0"/>
    <s v="Mobile"/>
    <n v="39342"/>
    <n v="1179"/>
    <n v="17"/>
    <n v="1012.84"/>
    <n v="1131.02"/>
    <n v="2.9967973158456611E-2"/>
    <n v="1.441899915182358E-2"/>
    <n v="59.578823529411764"/>
    <n v="118.17999999999995"/>
    <n v="0.11668180561589189"/>
  </r>
  <r>
    <d v="2025-02-21T00:00:00"/>
    <x v="606"/>
    <x v="17"/>
    <x v="0"/>
    <x v="0"/>
    <x v="1"/>
    <s v="Mobile"/>
    <n v="10143"/>
    <n v="595"/>
    <n v="22"/>
    <n v="991.56"/>
    <n v="2231.9699999999998"/>
    <n v="5.866114561766736E-2"/>
    <n v="3.6974789915966387E-2"/>
    <n v="45.07090909090909"/>
    <n v="1240.4099999999999"/>
    <n v="1.2509681713663319"/>
  </r>
  <r>
    <d v="2025-02-21T00:00:00"/>
    <x v="607"/>
    <x v="6"/>
    <x v="3"/>
    <x v="0"/>
    <x v="0"/>
    <s v="Desktop"/>
    <n v="36737"/>
    <n v="1005"/>
    <n v="15"/>
    <n v="850.7"/>
    <n v="945.76"/>
    <n v="2.7356615945776739E-2"/>
    <n v="1.4925373134328358E-2"/>
    <n v="56.713333333333338"/>
    <n v="95.059999999999945"/>
    <n v="0.11174327024803096"/>
  </r>
  <r>
    <d v="2025-02-21T00:00:00"/>
    <x v="608"/>
    <x v="2"/>
    <x v="1"/>
    <x v="1"/>
    <x v="4"/>
    <s v="Mobile"/>
    <n v="9329"/>
    <n v="258"/>
    <n v="4"/>
    <n v="456.52"/>
    <n v="357.9"/>
    <n v="2.7655697288026585E-2"/>
    <n v="1.5503875968992248E-2"/>
    <n v="114.13"/>
    <n v="-98.62"/>
    <n v="-0.2160255848593709"/>
  </r>
  <r>
    <d v="2025-02-21T00:00:00"/>
    <x v="609"/>
    <x v="5"/>
    <x v="4"/>
    <x v="0"/>
    <x v="3"/>
    <s v="Mobile"/>
    <n v="1231"/>
    <n v="123"/>
    <n v="17"/>
    <n v="57.25"/>
    <n v="2357.59"/>
    <n v="9.9918765231519088E-2"/>
    <n v="0.13821138211382114"/>
    <n v="3.3676470588235294"/>
    <n v="2300.34"/>
    <n v="40.180611353711789"/>
  </r>
  <r>
    <d v="2025-02-21T00:00:00"/>
    <x v="610"/>
    <x v="4"/>
    <x v="3"/>
    <x v="1"/>
    <x v="0"/>
    <s v="Mobile"/>
    <n v="26218"/>
    <n v="477"/>
    <n v="5"/>
    <n v="394.99"/>
    <n v="40.340000000000003"/>
    <n v="1.8193607445266612E-2"/>
    <n v="1.0482180293501049E-2"/>
    <n v="78.998000000000005"/>
    <n v="-354.65"/>
    <n v="-0.89787083217296637"/>
  </r>
  <r>
    <d v="2025-02-21T00:00:00"/>
    <x v="611"/>
    <x v="18"/>
    <x v="4"/>
    <x v="1"/>
    <x v="4"/>
    <s v="Tablet"/>
    <n v="4711"/>
    <n v="427"/>
    <n v="39"/>
    <n v="191.19"/>
    <n v="3706.9"/>
    <n v="9.0638930163447248E-2"/>
    <n v="9.1334894613583142E-2"/>
    <n v="4.9023076923076925"/>
    <n v="3515.71"/>
    <n v="18.388566347612322"/>
  </r>
  <r>
    <d v="2025-02-21T00:00:00"/>
    <x v="612"/>
    <x v="9"/>
    <x v="4"/>
    <x v="0"/>
    <x v="2"/>
    <s v="Desktop"/>
    <n v="4742"/>
    <n v="521"/>
    <n v="68"/>
    <n v="122.2"/>
    <n v="6526.03"/>
    <n v="0.1098692534795445"/>
    <n v="0.13051823416506717"/>
    <n v="1.7970588235294118"/>
    <n v="6403.83"/>
    <n v="52.404500818330604"/>
  </r>
  <r>
    <d v="2025-02-21T00:00:00"/>
    <x v="613"/>
    <x v="5"/>
    <x v="4"/>
    <x v="1"/>
    <x v="0"/>
    <s v="Mobile"/>
    <n v="2097"/>
    <n v="264"/>
    <n v="21"/>
    <n v="54.26"/>
    <n v="1603.24"/>
    <n v="0.12589413447782546"/>
    <n v="7.9545454545454544E-2"/>
    <n v="2.5838095238095238"/>
    <n v="1548.98"/>
    <n v="28.547364541098418"/>
  </r>
  <r>
    <d v="2025-02-21T00:00:00"/>
    <x v="614"/>
    <x v="12"/>
    <x v="0"/>
    <x v="0"/>
    <x v="3"/>
    <s v="Desktop"/>
    <n v="8938"/>
    <n v="384"/>
    <n v="20"/>
    <n v="700.76"/>
    <n v="2288.31"/>
    <n v="4.2962631461177E-2"/>
    <n v="5.2083333333333336E-2"/>
    <n v="35.037999999999997"/>
    <n v="1587.55"/>
    <n v="2.2654689194588733"/>
  </r>
  <r>
    <d v="2025-02-22T00:00:00"/>
    <x v="615"/>
    <x v="17"/>
    <x v="0"/>
    <x v="0"/>
    <x v="2"/>
    <s v="Desktop"/>
    <n v="8745"/>
    <n v="291"/>
    <n v="12"/>
    <n v="847.9"/>
    <n v="1215.05"/>
    <n v="3.3276157804459694E-2"/>
    <n v="4.1237113402061855E-2"/>
    <n v="70.658333333333331"/>
    <n v="367.15"/>
    <n v="0.43301096827456065"/>
  </r>
  <r>
    <d v="2025-02-22T00:00:00"/>
    <x v="616"/>
    <x v="7"/>
    <x v="2"/>
    <x v="0"/>
    <x v="2"/>
    <s v="Mobile"/>
    <n v="2802"/>
    <n v="144"/>
    <n v="1"/>
    <n v="775.65"/>
    <n v="158.63999999999999"/>
    <n v="5.1391862955032119E-2"/>
    <n v="6.9444444444444441E-3"/>
    <n v="775.65"/>
    <n v="-617.01"/>
    <n v="-0.79547476310191456"/>
  </r>
  <r>
    <d v="2025-02-22T00:00:00"/>
    <x v="617"/>
    <x v="11"/>
    <x v="1"/>
    <x v="0"/>
    <x v="2"/>
    <s v="Mobile"/>
    <n v="10281"/>
    <n v="284"/>
    <n v="6"/>
    <n v="414.67"/>
    <n v="310.02"/>
    <n v="2.7623772006614141E-2"/>
    <n v="2.1126760563380281E-2"/>
    <n v="69.111666666666665"/>
    <n v="-104.65000000000003"/>
    <n v="-0.25236935394410021"/>
  </r>
  <r>
    <d v="2025-02-22T00:00:00"/>
    <x v="618"/>
    <x v="2"/>
    <x v="1"/>
    <x v="0"/>
    <x v="4"/>
    <s v="Desktop"/>
    <n v="12540"/>
    <n v="390"/>
    <n v="9"/>
    <n v="715.48"/>
    <n v="490.76"/>
    <n v="3.1100478468899521E-2"/>
    <n v="2.3076923076923078E-2"/>
    <n v="79.497777777777785"/>
    <n v="-224.72000000000003"/>
    <n v="-0.31408285346899989"/>
  </r>
  <r>
    <d v="2025-02-22T00:00:00"/>
    <x v="619"/>
    <x v="12"/>
    <x v="0"/>
    <x v="2"/>
    <x v="2"/>
    <s v="Mobile"/>
    <n v="5005"/>
    <n v="260"/>
    <n v="15"/>
    <n v="600.04999999999995"/>
    <n v="1090.8"/>
    <n v="5.1948051948051951E-2"/>
    <n v="5.7692307692307696E-2"/>
    <n v="40.00333333333333"/>
    <n v="490.75"/>
    <n v="0.81784851262394809"/>
  </r>
  <r>
    <d v="2025-02-22T00:00:00"/>
    <x v="620"/>
    <x v="15"/>
    <x v="1"/>
    <x v="0"/>
    <x v="1"/>
    <s v="Mobile"/>
    <n v="8770"/>
    <n v="348"/>
    <n v="6"/>
    <n v="656.9"/>
    <n v="396.25"/>
    <n v="3.9680729760547317E-2"/>
    <n v="1.7241379310344827E-2"/>
    <n v="109.48333333333333"/>
    <n v="-260.64999999999998"/>
    <n v="-0.39678794337037598"/>
  </r>
  <r>
    <d v="2025-02-22T00:00:00"/>
    <x v="621"/>
    <x v="8"/>
    <x v="3"/>
    <x v="2"/>
    <x v="3"/>
    <s v="Mobile"/>
    <n v="22306"/>
    <n v="423"/>
    <n v="6"/>
    <n v="444.25"/>
    <n v="318.56"/>
    <n v="1.8963507576436833E-2"/>
    <n v="1.4184397163120567E-2"/>
    <n v="74.041666666666671"/>
    <n v="-125.69"/>
    <n v="-0.2829262802476083"/>
  </r>
  <r>
    <d v="2025-02-22T00:00:00"/>
    <x v="622"/>
    <x v="15"/>
    <x v="1"/>
    <x v="1"/>
    <x v="0"/>
    <s v="Mobile"/>
    <n v="18427"/>
    <n v="411"/>
    <n v="7"/>
    <n v="454.84"/>
    <n v="524.71"/>
    <n v="2.2304227492266782E-2"/>
    <n v="1.7031630170316302E-2"/>
    <n v="64.977142857142852"/>
    <n v="69.870000000000061"/>
    <n v="0.15361445783132543"/>
  </r>
  <r>
    <d v="2025-02-22T00:00:00"/>
    <x v="623"/>
    <x v="17"/>
    <x v="0"/>
    <x v="1"/>
    <x v="3"/>
    <s v="Tablet"/>
    <n v="8827"/>
    <n v="327"/>
    <n v="10"/>
    <n v="523.46"/>
    <n v="1114.6500000000001"/>
    <n v="3.7045428798006118E-2"/>
    <n v="3.0581039755351681E-2"/>
    <n v="52.346000000000004"/>
    <n v="591.19000000000005"/>
    <n v="1.1293890650670539"/>
  </r>
  <r>
    <d v="2025-02-22T00:00:00"/>
    <x v="624"/>
    <x v="12"/>
    <x v="0"/>
    <x v="2"/>
    <x v="4"/>
    <s v="Mobile"/>
    <n v="14991"/>
    <n v="784"/>
    <n v="52"/>
    <n v="1534.8"/>
    <n v="5626.46"/>
    <n v="5.2298045493963045E-2"/>
    <n v="6.6326530612244902E-2"/>
    <n v="29.515384615384615"/>
    <n v="4091.66"/>
    <n v="2.665923898879333"/>
  </r>
  <r>
    <d v="2025-02-23T00:00:00"/>
    <x v="625"/>
    <x v="3"/>
    <x v="2"/>
    <x v="0"/>
    <x v="1"/>
    <s v="Mobile"/>
    <n v="3148"/>
    <n v="161"/>
    <n v="4"/>
    <n v="952.19"/>
    <n v="183.94"/>
    <n v="5.1143583227445999E-2"/>
    <n v="2.4844720496894408E-2"/>
    <n v="238.04750000000001"/>
    <n v="-768.25"/>
    <n v="-0.80682426826578724"/>
  </r>
  <r>
    <d v="2025-02-23T00:00:00"/>
    <x v="626"/>
    <x v="10"/>
    <x v="3"/>
    <x v="2"/>
    <x v="1"/>
    <s v="Mobile"/>
    <n v="18743"/>
    <n v="574"/>
    <n v="7"/>
    <n v="830.86"/>
    <n v="326.06"/>
    <n v="3.0624766579523021E-2"/>
    <n v="1.2195121951219513E-2"/>
    <n v="118.69428571428571"/>
    <n v="-504.8"/>
    <n v="-0.60756324771923065"/>
  </r>
  <r>
    <d v="2025-02-23T00:00:00"/>
    <x v="627"/>
    <x v="10"/>
    <x v="3"/>
    <x v="1"/>
    <x v="1"/>
    <s v="Desktop"/>
    <n v="37363"/>
    <n v="760"/>
    <n v="13"/>
    <n v="895.73"/>
    <n v="176.01"/>
    <n v="2.0340979043438696E-2"/>
    <n v="1.7105263157894738E-2"/>
    <n v="68.902307692307687"/>
    <n v="-719.72"/>
    <n v="-0.80350105500541458"/>
  </r>
  <r>
    <d v="2025-02-23T00:00:00"/>
    <x v="628"/>
    <x v="10"/>
    <x v="3"/>
    <x v="2"/>
    <x v="0"/>
    <s v="Mobile"/>
    <n v="29229"/>
    <n v="419"/>
    <n v="7"/>
    <n v="556.44000000000005"/>
    <n v="524.15"/>
    <n v="1.4335078175784324E-2"/>
    <n v="1.6706443914081145E-2"/>
    <n v="79.491428571428585"/>
    <n v="-32.290000000000077"/>
    <n v="-5.8029616849974971E-2"/>
  </r>
  <r>
    <d v="2025-02-23T00:00:00"/>
    <x v="629"/>
    <x v="16"/>
    <x v="2"/>
    <x v="0"/>
    <x v="0"/>
    <s v="Mobile"/>
    <n v="3905"/>
    <n v="149"/>
    <n v="1"/>
    <n v="1040.46"/>
    <n v="8.16"/>
    <n v="3.8156209987195905E-2"/>
    <n v="6.7114093959731542E-3"/>
    <n v="1040.46"/>
    <n v="-1032.3"/>
    <n v="-0.99215731503373505"/>
  </r>
  <r>
    <d v="2025-02-23T00:00:00"/>
    <x v="630"/>
    <x v="14"/>
    <x v="1"/>
    <x v="0"/>
    <x v="2"/>
    <s v="Mobile"/>
    <n v="16121"/>
    <n v="667"/>
    <n v="17"/>
    <n v="865.67"/>
    <n v="1459.41"/>
    <n v="4.1374604553067428E-2"/>
    <n v="2.5487256371814093E-2"/>
    <n v="50.921764705882353"/>
    <n v="593.74000000000012"/>
    <n v="0.68587336975983937"/>
  </r>
  <r>
    <d v="2025-02-23T00:00:00"/>
    <x v="631"/>
    <x v="0"/>
    <x v="0"/>
    <x v="0"/>
    <x v="3"/>
    <s v="Mobile"/>
    <n v="14167"/>
    <n v="756"/>
    <n v="26"/>
    <n v="2228.98"/>
    <n v="2457.02"/>
    <n v="5.336345027175831E-2"/>
    <n v="3.439153439153439E-2"/>
    <n v="85.73"/>
    <n v="228.03999999999996"/>
    <n v="0.10230688476343437"/>
  </r>
  <r>
    <d v="2025-02-24T00:00:00"/>
    <x v="632"/>
    <x v="19"/>
    <x v="4"/>
    <x v="0"/>
    <x v="3"/>
    <s v="Desktop"/>
    <n v="4920"/>
    <n v="670"/>
    <n v="108"/>
    <n v="271.23"/>
    <n v="14299.02"/>
    <n v="0.13617886178861788"/>
    <n v="0.16119402985074627"/>
    <n v="2.5113888888888889"/>
    <n v="14027.79"/>
    <n v="51.719168233602474"/>
  </r>
  <r>
    <d v="2025-02-24T00:00:00"/>
    <x v="633"/>
    <x v="2"/>
    <x v="1"/>
    <x v="0"/>
    <x v="1"/>
    <s v="Mobile"/>
    <n v="8322"/>
    <n v="258"/>
    <n v="6"/>
    <n v="417.24"/>
    <n v="328.23"/>
    <n v="3.1002162941600575E-2"/>
    <n v="2.3255813953488372E-2"/>
    <n v="69.540000000000006"/>
    <n v="-89.009999999999991"/>
    <n v="-0.21333045729076788"/>
  </r>
  <r>
    <d v="2025-02-24T00:00:00"/>
    <x v="634"/>
    <x v="15"/>
    <x v="1"/>
    <x v="1"/>
    <x v="4"/>
    <s v="Mobile"/>
    <n v="17491"/>
    <n v="654"/>
    <n v="11"/>
    <n v="886.21"/>
    <n v="864.8"/>
    <n v="3.739065805271282E-2"/>
    <n v="1.6819571865443424E-2"/>
    <n v="80.564545454545453"/>
    <n v="-21.410000000000082"/>
    <n v="-2.4159059365161849E-2"/>
  </r>
  <r>
    <d v="2025-02-24T00:00:00"/>
    <x v="635"/>
    <x v="8"/>
    <x v="3"/>
    <x v="1"/>
    <x v="1"/>
    <s v="Mobile"/>
    <n v="30928"/>
    <n v="292"/>
    <n v="2"/>
    <n v="344.51"/>
    <n v="122.16"/>
    <n v="9.4412829798241078E-3"/>
    <n v="6.8493150684931503E-3"/>
    <n v="172.255"/>
    <n v="-222.35"/>
    <n v="-0.64540942207773355"/>
  </r>
  <r>
    <d v="2025-02-24T00:00:00"/>
    <x v="636"/>
    <x v="2"/>
    <x v="1"/>
    <x v="0"/>
    <x v="3"/>
    <s v="Mobile"/>
    <n v="8302"/>
    <n v="227"/>
    <n v="7"/>
    <n v="361.95"/>
    <n v="536.14"/>
    <n v="2.7342808961695976E-2"/>
    <n v="3.0837004405286344E-2"/>
    <n v="51.707142857142856"/>
    <n v="174.19"/>
    <n v="0.48125431689459869"/>
  </r>
  <r>
    <d v="2025-02-24T00:00:00"/>
    <x v="637"/>
    <x v="4"/>
    <x v="3"/>
    <x v="2"/>
    <x v="0"/>
    <s v="Mobile"/>
    <n v="33734"/>
    <n v="755"/>
    <n v="11"/>
    <n v="1059.17"/>
    <n v="861.1"/>
    <n v="2.2380980613031363E-2"/>
    <n v="1.456953642384106E-2"/>
    <n v="96.288181818181826"/>
    <n v="-198.07000000000005"/>
    <n v="-0.18700491894596716"/>
  </r>
  <r>
    <d v="2025-02-24T00:00:00"/>
    <x v="638"/>
    <x v="15"/>
    <x v="1"/>
    <x v="2"/>
    <x v="4"/>
    <s v="Mobile"/>
    <n v="18031"/>
    <n v="557"/>
    <n v="15"/>
    <n v="602.12"/>
    <n v="868.11"/>
    <n v="3.0891242859519715E-2"/>
    <n v="2.6929982046678635E-2"/>
    <n v="40.141333333333336"/>
    <n v="265.99"/>
    <n v="0.4417557961868066"/>
  </r>
  <r>
    <d v="2025-02-24T00:00:00"/>
    <x v="639"/>
    <x v="16"/>
    <x v="2"/>
    <x v="0"/>
    <x v="2"/>
    <s v="Desktop"/>
    <n v="4226"/>
    <n v="114"/>
    <n v="2"/>
    <n v="789.93"/>
    <n v="397.56"/>
    <n v="2.6975863700899196E-2"/>
    <n v="1.7543859649122806E-2"/>
    <n v="394.96499999999997"/>
    <n v="-392.36999999999995"/>
    <n v="-0.49671489878850023"/>
  </r>
  <r>
    <d v="2025-02-24T00:00:00"/>
    <x v="640"/>
    <x v="17"/>
    <x v="0"/>
    <x v="0"/>
    <x v="0"/>
    <s v="Mobile"/>
    <n v="7217"/>
    <n v="356"/>
    <n v="16"/>
    <n v="695.48"/>
    <n v="1640.86"/>
    <n v="4.9327975613135649E-2"/>
    <n v="4.49438202247191E-2"/>
    <n v="43.467500000000001"/>
    <n v="945.37999999999988"/>
    <n v="1.3593201817449816"/>
  </r>
  <r>
    <d v="2025-02-24T00:00:00"/>
    <x v="641"/>
    <x v="13"/>
    <x v="2"/>
    <x v="2"/>
    <x v="1"/>
    <s v="Mobile"/>
    <n v="2809"/>
    <n v="134"/>
    <n v="4"/>
    <n v="752.21"/>
    <n v="717.96"/>
    <n v="4.770380918476326E-2"/>
    <n v="2.9850746268656716E-2"/>
    <n v="188.05250000000001"/>
    <n v="-34.25"/>
    <n v="-4.5532497573815819E-2"/>
  </r>
  <r>
    <d v="2025-02-24T00:00:00"/>
    <x v="642"/>
    <x v="4"/>
    <x v="3"/>
    <x v="2"/>
    <x v="2"/>
    <s v="Desktop"/>
    <n v="24045"/>
    <n v="200"/>
    <n v="6"/>
    <n v="252.8"/>
    <n v="334.95"/>
    <n v="8.3177375753794962E-3"/>
    <n v="0.03"/>
    <n v="42.133333333333333"/>
    <n v="82.149999999999977"/>
    <n v="0.32496044303797456"/>
  </r>
  <r>
    <d v="2025-02-24T00:00:00"/>
    <x v="643"/>
    <x v="4"/>
    <x v="3"/>
    <x v="0"/>
    <x v="3"/>
    <s v="Desktop"/>
    <n v="17975"/>
    <n v="309"/>
    <n v="6"/>
    <n v="300.04000000000002"/>
    <n v="263.33"/>
    <n v="1.7190542420027818E-2"/>
    <n v="1.9417475728155338E-2"/>
    <n v="50.006666666666668"/>
    <n v="-36.710000000000036"/>
    <n v="-0.12235035328622862"/>
  </r>
  <r>
    <d v="2025-02-25T00:00:00"/>
    <x v="644"/>
    <x v="15"/>
    <x v="1"/>
    <x v="0"/>
    <x v="3"/>
    <s v="Mobile"/>
    <n v="15241"/>
    <n v="413"/>
    <n v="5"/>
    <n v="618.99"/>
    <n v="294.17"/>
    <n v="2.7097959451479563E-2"/>
    <n v="1.2106537530266344E-2"/>
    <n v="123.798"/>
    <n v="-324.82"/>
    <n v="-0.52475807363608462"/>
  </r>
  <r>
    <d v="2025-02-25T00:00:00"/>
    <x v="645"/>
    <x v="5"/>
    <x v="4"/>
    <x v="2"/>
    <x v="2"/>
    <s v="Mobile"/>
    <n v="3485"/>
    <n v="528"/>
    <n v="83"/>
    <n v="193.86"/>
    <n v="9485.25"/>
    <n v="0.15150645624103301"/>
    <n v="0.1571969696969697"/>
    <n v="2.3356626506024099"/>
    <n v="9291.39"/>
    <n v="47.928350355926952"/>
  </r>
  <r>
    <d v="2025-02-25T00:00:00"/>
    <x v="646"/>
    <x v="13"/>
    <x v="2"/>
    <x v="2"/>
    <x v="0"/>
    <s v="Mobile"/>
    <n v="4659"/>
    <n v="135"/>
    <n v="2"/>
    <n v="772.86"/>
    <n v="312.20999999999998"/>
    <n v="2.8976175144880875E-2"/>
    <n v="1.4814814814814815E-2"/>
    <n v="386.43"/>
    <n v="-460.65000000000003"/>
    <n v="-0.59603291669901404"/>
  </r>
  <r>
    <d v="2025-02-25T00:00:00"/>
    <x v="647"/>
    <x v="14"/>
    <x v="1"/>
    <x v="0"/>
    <x v="3"/>
    <s v="Mobile"/>
    <n v="10080"/>
    <n v="415"/>
    <n v="8"/>
    <n v="528.6"/>
    <n v="454.66"/>
    <n v="4.117063492063492E-2"/>
    <n v="1.9277108433734941E-2"/>
    <n v="66.075000000000003"/>
    <n v="-73.94"/>
    <n v="-0.13987892546348846"/>
  </r>
  <r>
    <d v="2025-02-25T00:00:00"/>
    <x v="648"/>
    <x v="8"/>
    <x v="3"/>
    <x v="2"/>
    <x v="2"/>
    <s v="Desktop"/>
    <n v="16079"/>
    <n v="226"/>
    <n v="6"/>
    <n v="250.31"/>
    <n v="393.21"/>
    <n v="1.4055600472666211E-2"/>
    <n v="2.6548672566371681E-2"/>
    <n v="41.718333333333334"/>
    <n v="142.89999999999998"/>
    <n v="0.57089209380368333"/>
  </r>
  <r>
    <d v="2025-02-25T00:00:00"/>
    <x v="649"/>
    <x v="5"/>
    <x v="4"/>
    <x v="1"/>
    <x v="1"/>
    <s v="Desktop"/>
    <n v="4743"/>
    <n v="533"/>
    <n v="42"/>
    <n v="121.11"/>
    <n v="4615.2299999999996"/>
    <n v="0.11237613324899852"/>
    <n v="7.879924953095685E-2"/>
    <n v="2.8835714285714285"/>
    <n v="4494.12"/>
    <n v="37.107753282140202"/>
  </r>
  <r>
    <d v="2025-02-25T00:00:00"/>
    <x v="650"/>
    <x v="19"/>
    <x v="4"/>
    <x v="1"/>
    <x v="2"/>
    <s v="Mobile"/>
    <n v="3466"/>
    <n v="480"/>
    <n v="37"/>
    <n v="179.65"/>
    <n v="3877.69"/>
    <n v="0.13848817080207732"/>
    <n v="7.7083333333333337E-2"/>
    <n v="4.8554054054054054"/>
    <n v="3698.04"/>
    <n v="20.584692457556358"/>
  </r>
  <r>
    <d v="2025-02-25T00:00:00"/>
    <x v="651"/>
    <x v="8"/>
    <x v="3"/>
    <x v="0"/>
    <x v="3"/>
    <s v="Mobile"/>
    <n v="34779"/>
    <n v="828"/>
    <n v="9"/>
    <n v="1264.46"/>
    <n v="508.94"/>
    <n v="2.3807470025015095E-2"/>
    <n v="1.0869565217391304E-2"/>
    <n v="140.49555555555557"/>
    <n v="-755.52"/>
    <n v="-0.59750407288486784"/>
  </r>
  <r>
    <d v="2025-02-25T00:00:00"/>
    <x v="652"/>
    <x v="3"/>
    <x v="2"/>
    <x v="2"/>
    <x v="3"/>
    <s v="Mobile"/>
    <n v="4380"/>
    <n v="204"/>
    <n v="5"/>
    <n v="1245.42"/>
    <n v="884.94"/>
    <n v="4.6575342465753428E-2"/>
    <n v="2.4509803921568627E-2"/>
    <n v="249.084"/>
    <n v="-360.48"/>
    <n v="-0.28944452473864241"/>
  </r>
  <r>
    <d v="2025-02-25T00:00:00"/>
    <x v="653"/>
    <x v="10"/>
    <x v="3"/>
    <x v="0"/>
    <x v="2"/>
    <s v="Mobile"/>
    <n v="16221"/>
    <n v="361"/>
    <n v="6"/>
    <n v="501.94"/>
    <n v="438.4"/>
    <n v="2.2255101411750199E-2"/>
    <n v="1.662049861495845E-2"/>
    <n v="83.656666666666666"/>
    <n v="-63.54000000000002"/>
    <n v="-0.12658883531896248"/>
  </r>
  <r>
    <d v="2025-02-25T00:00:00"/>
    <x v="654"/>
    <x v="15"/>
    <x v="1"/>
    <x v="0"/>
    <x v="2"/>
    <s v="Tablet"/>
    <n v="8279"/>
    <n v="209"/>
    <n v="7"/>
    <n v="363.59"/>
    <n v="581.77"/>
    <n v="2.5244594757820992E-2"/>
    <n v="3.3492822966507178E-2"/>
    <n v="51.941428571428567"/>
    <n v="218.18"/>
    <n v="0.60007150911741258"/>
  </r>
  <r>
    <d v="2025-02-25T00:00:00"/>
    <x v="655"/>
    <x v="10"/>
    <x v="3"/>
    <x v="0"/>
    <x v="4"/>
    <s v="Mobile"/>
    <n v="32273"/>
    <n v="554"/>
    <n v="6"/>
    <n v="436.34"/>
    <n v="245.4"/>
    <n v="1.7166052117869427E-2"/>
    <n v="1.0830324909747292E-2"/>
    <n v="72.723333333333329"/>
    <n v="-190.93999999999997"/>
    <n v="-0.43759453637072004"/>
  </r>
  <r>
    <d v="2025-02-25T00:00:00"/>
    <x v="656"/>
    <x v="11"/>
    <x v="1"/>
    <x v="0"/>
    <x v="4"/>
    <s v="Mobile"/>
    <n v="16646"/>
    <n v="700"/>
    <n v="18"/>
    <n v="1131.05"/>
    <n v="1347.28"/>
    <n v="4.2052144659377629E-2"/>
    <n v="2.5714285714285714E-2"/>
    <n v="62.836111111111109"/>
    <n v="216.23000000000002"/>
    <n v="0.19117634056849833"/>
  </r>
  <r>
    <d v="2025-02-25T00:00:00"/>
    <x v="657"/>
    <x v="19"/>
    <x v="4"/>
    <x v="1"/>
    <x v="2"/>
    <s v="Desktop"/>
    <n v="1610"/>
    <n v="154"/>
    <n v="18"/>
    <n v="63.29"/>
    <n v="2224.21"/>
    <n v="9.5652173913043481E-2"/>
    <n v="0.11688311688311688"/>
    <n v="3.516111111111111"/>
    <n v="2160.92"/>
    <n v="34.143150576710383"/>
  </r>
  <r>
    <d v="2025-02-25T00:00:00"/>
    <x v="658"/>
    <x v="6"/>
    <x v="3"/>
    <x v="0"/>
    <x v="2"/>
    <s v="Mobile"/>
    <n v="35694"/>
    <n v="1017"/>
    <n v="14"/>
    <n v="1208.5999999999999"/>
    <n v="1044.5"/>
    <n v="2.849218356026223E-2"/>
    <n v="1.376597836774828E-2"/>
    <n v="86.328571428571422"/>
    <n v="-164.09999999999991"/>
    <n v="-0.13577693198742341"/>
  </r>
  <r>
    <d v="2025-02-26T00:00:00"/>
    <x v="659"/>
    <x v="6"/>
    <x v="3"/>
    <x v="0"/>
    <x v="1"/>
    <s v="Desktop"/>
    <n v="32223"/>
    <n v="841"/>
    <n v="13"/>
    <n v="726.01"/>
    <n v="939.87"/>
    <n v="2.6099370015206531E-2"/>
    <n v="1.5457788347205707E-2"/>
    <n v="55.846923076923076"/>
    <n v="213.86"/>
    <n v="0.29456894533133154"/>
  </r>
  <r>
    <d v="2025-02-26T00:00:00"/>
    <x v="660"/>
    <x v="4"/>
    <x v="3"/>
    <x v="0"/>
    <x v="1"/>
    <s v="Mobile"/>
    <n v="31062"/>
    <n v="880"/>
    <n v="10"/>
    <n v="1281.56"/>
    <n v="585.12"/>
    <n v="2.8330435902388772E-2"/>
    <n v="1.1363636363636364E-2"/>
    <n v="128.15600000000001"/>
    <n v="-696.43999999999994"/>
    <n v="-0.54343144292893031"/>
  </r>
  <r>
    <d v="2025-02-26T00:00:00"/>
    <x v="661"/>
    <x v="9"/>
    <x v="4"/>
    <x v="0"/>
    <x v="3"/>
    <s v="Mobile"/>
    <n v="4798"/>
    <n v="562"/>
    <n v="67"/>
    <n v="150.5"/>
    <n v="9168.2199999999993"/>
    <n v="0.11713213839099625"/>
    <n v="0.11921708185053381"/>
    <n v="2.2462686567164178"/>
    <n v="9017.7199999999993"/>
    <n v="59.918405315614613"/>
  </r>
  <r>
    <d v="2025-02-26T00:00:00"/>
    <x v="662"/>
    <x v="12"/>
    <x v="0"/>
    <x v="0"/>
    <x v="4"/>
    <s v="Desktop"/>
    <n v="14444"/>
    <n v="777"/>
    <n v="32"/>
    <n v="2087.6"/>
    <n v="2229.6999999999998"/>
    <n v="5.3793962891165885E-2"/>
    <n v="4.1184041184041183E-2"/>
    <n v="65.237499999999997"/>
    <n v="142.09999999999991"/>
    <n v="6.8068595516382405E-2"/>
  </r>
  <r>
    <d v="2025-02-26T00:00:00"/>
    <x v="663"/>
    <x v="10"/>
    <x v="3"/>
    <x v="2"/>
    <x v="4"/>
    <s v="Desktop"/>
    <n v="38471"/>
    <n v="586"/>
    <n v="12"/>
    <n v="504.96"/>
    <n v="559.86"/>
    <n v="1.5232252865795014E-2"/>
    <n v="2.0477815699658702E-2"/>
    <n v="42.08"/>
    <n v="54.900000000000034"/>
    <n v="0.10872148288973391"/>
  </r>
  <r>
    <d v="2025-02-26T00:00:00"/>
    <x v="664"/>
    <x v="6"/>
    <x v="3"/>
    <x v="2"/>
    <x v="4"/>
    <s v="Mobile"/>
    <n v="26411"/>
    <n v="494"/>
    <n v="7"/>
    <n v="550"/>
    <n v="414.53"/>
    <n v="1.8704327742228615E-2"/>
    <n v="1.417004048582996E-2"/>
    <n v="78.571428571428569"/>
    <n v="-135.47000000000003"/>
    <n v="-0.24630909090909095"/>
  </r>
  <r>
    <d v="2025-02-26T00:00:00"/>
    <x v="665"/>
    <x v="13"/>
    <x v="2"/>
    <x v="1"/>
    <x v="3"/>
    <s v="Desktop"/>
    <n v="2553"/>
    <n v="55"/>
    <n v="1"/>
    <n v="418.86"/>
    <n v="113.85"/>
    <n v="2.1543282412847631E-2"/>
    <n v="1.8181818181818181E-2"/>
    <n v="418.86"/>
    <n v="-305.01"/>
    <n v="-0.72819080360979793"/>
  </r>
  <r>
    <d v="2025-02-26T00:00:00"/>
    <x v="666"/>
    <x v="10"/>
    <x v="3"/>
    <x v="2"/>
    <x v="2"/>
    <s v="Mobile"/>
    <n v="17306"/>
    <n v="443"/>
    <n v="6"/>
    <n v="361.71"/>
    <n v="258.24"/>
    <n v="2.5598058476828847E-2"/>
    <n v="1.3544018058690745E-2"/>
    <n v="60.284999999999997"/>
    <n v="-103.46999999999997"/>
    <n v="-0.28605789168118101"/>
  </r>
  <r>
    <d v="2025-02-26T00:00:00"/>
    <x v="667"/>
    <x v="3"/>
    <x v="2"/>
    <x v="2"/>
    <x v="3"/>
    <s v="Mobile"/>
    <n v="5960"/>
    <n v="259"/>
    <n v="7"/>
    <n v="1526.93"/>
    <n v="1090.9000000000001"/>
    <n v="4.3456375838926177E-2"/>
    <n v="2.7027027027027029E-2"/>
    <n v="218.13285714285715"/>
    <n v="-436.03"/>
    <n v="-0.28555991433791983"/>
  </r>
  <r>
    <d v="2025-02-27T00:00:00"/>
    <x v="668"/>
    <x v="2"/>
    <x v="1"/>
    <x v="0"/>
    <x v="3"/>
    <s v="Mobile"/>
    <n v="14146"/>
    <n v="419"/>
    <n v="10"/>
    <n v="492.67"/>
    <n v="811.43"/>
    <n v="2.9619680475045949E-2"/>
    <n v="2.386634844868735E-2"/>
    <n v="49.267000000000003"/>
    <n v="318.75999999999993"/>
    <n v="0.64700509468812784"/>
  </r>
  <r>
    <d v="2025-02-27T00:00:00"/>
    <x v="669"/>
    <x v="12"/>
    <x v="0"/>
    <x v="1"/>
    <x v="3"/>
    <s v="Tablet"/>
    <n v="12317"/>
    <n v="576"/>
    <n v="15"/>
    <n v="1326.75"/>
    <n v="893.01"/>
    <n v="4.6764634245351953E-2"/>
    <n v="2.6041666666666668E-2"/>
    <n v="88.45"/>
    <n v="-433.74"/>
    <n v="-0.32691916336913512"/>
  </r>
  <r>
    <d v="2025-02-27T00:00:00"/>
    <x v="670"/>
    <x v="4"/>
    <x v="3"/>
    <x v="0"/>
    <x v="0"/>
    <s v="Mobile"/>
    <n v="24612"/>
    <n v="237"/>
    <n v="2"/>
    <n v="242.24"/>
    <n v="113.33"/>
    <n v="9.6294490492442718E-3"/>
    <n v="8.4388185654008432E-3"/>
    <n v="121.12"/>
    <n v="-128.91000000000003"/>
    <n v="-0.53215819022457078"/>
  </r>
  <r>
    <d v="2025-02-27T00:00:00"/>
    <x v="671"/>
    <x v="5"/>
    <x v="4"/>
    <x v="1"/>
    <x v="1"/>
    <s v="Mobile"/>
    <n v="3259"/>
    <n v="271"/>
    <n v="18"/>
    <n v="0"/>
    <n v="2149.7199999999998"/>
    <n v="8.3154341822644987E-2"/>
    <n v="6.6420664206642069E-2"/>
    <n v="0"/>
    <n v="2149.7199999999998"/>
    <n v="0"/>
  </r>
  <r>
    <d v="2025-02-27T00:00:00"/>
    <x v="672"/>
    <x v="1"/>
    <x v="0"/>
    <x v="0"/>
    <x v="2"/>
    <s v="Mobile"/>
    <n v="13784"/>
    <n v="916"/>
    <n v="28"/>
    <n v="2590.4499999999998"/>
    <n v="1972.03"/>
    <n v="6.6453859547301222E-2"/>
    <n v="3.0567685589519649E-2"/>
    <n v="92.516071428571422"/>
    <n v="-618.41999999999985"/>
    <n v="-0.23873072246134838"/>
  </r>
  <r>
    <d v="2025-02-27T00:00:00"/>
    <x v="673"/>
    <x v="7"/>
    <x v="2"/>
    <x v="0"/>
    <x v="2"/>
    <s v="Mobile"/>
    <n v="5582"/>
    <n v="259"/>
    <n v="2"/>
    <n v="1064.52"/>
    <n v="47.99"/>
    <n v="4.6399140093156578E-2"/>
    <n v="7.7220077220077222E-3"/>
    <n v="532.26"/>
    <n v="-1016.53"/>
    <n v="-0.95491864878067112"/>
  </r>
  <r>
    <d v="2025-02-28T00:00:00"/>
    <x v="674"/>
    <x v="14"/>
    <x v="1"/>
    <x v="1"/>
    <x v="3"/>
    <s v="Desktop"/>
    <n v="9249"/>
    <n v="148"/>
    <n v="3"/>
    <n v="270.41000000000003"/>
    <n v="232.27"/>
    <n v="1.6001729916747757E-2"/>
    <n v="2.0270270270270271E-2"/>
    <n v="90.13666666666667"/>
    <n v="-38.140000000000015"/>
    <n v="-0.14104507969379834"/>
  </r>
  <r>
    <d v="2025-02-28T00:00:00"/>
    <x v="675"/>
    <x v="19"/>
    <x v="4"/>
    <x v="0"/>
    <x v="2"/>
    <s v="Mobile"/>
    <n v="1113"/>
    <n v="168"/>
    <n v="12"/>
    <n v="67.11"/>
    <n v="1504.29"/>
    <n v="0.15094339622641509"/>
    <n v="7.1428571428571425E-2"/>
    <n v="5.5925000000000002"/>
    <n v="1437.18"/>
    <n v="21.41528833258829"/>
  </r>
  <r>
    <d v="2025-02-28T00:00:00"/>
    <x v="676"/>
    <x v="3"/>
    <x v="2"/>
    <x v="2"/>
    <x v="3"/>
    <s v="Mobile"/>
    <n v="4611"/>
    <n v="218"/>
    <n v="8"/>
    <n v="955.63"/>
    <n v="1413.73"/>
    <n v="4.7278247668618524E-2"/>
    <n v="3.669724770642202E-2"/>
    <n v="119.45375"/>
    <n v="458.1"/>
    <n v="0.47936963050553039"/>
  </r>
  <r>
    <d v="2025-02-28T00:00:00"/>
    <x v="677"/>
    <x v="14"/>
    <x v="1"/>
    <x v="0"/>
    <x v="2"/>
    <s v="Mobile"/>
    <n v="19840"/>
    <n v="814"/>
    <n v="19"/>
    <n v="1305.93"/>
    <n v="1065.83"/>
    <n v="4.1028225806451615E-2"/>
    <n v="2.334152334152334E-2"/>
    <n v="68.733157894736848"/>
    <n v="-240.10000000000014"/>
    <n v="-0.18385365218656446"/>
  </r>
  <r>
    <d v="2025-02-28T00:00:00"/>
    <x v="678"/>
    <x v="9"/>
    <x v="4"/>
    <x v="2"/>
    <x v="1"/>
    <s v="Mobile"/>
    <n v="3925"/>
    <n v="670"/>
    <n v="84"/>
    <n v="320.3"/>
    <n v="11983.45"/>
    <n v="0.17070063694267515"/>
    <n v="0.1253731343283582"/>
    <n v="3.8130952380952383"/>
    <n v="11663.150000000001"/>
    <n v="36.413206369029041"/>
  </r>
  <r>
    <d v="2025-02-28T00:00:00"/>
    <x v="679"/>
    <x v="11"/>
    <x v="1"/>
    <x v="0"/>
    <x v="2"/>
    <s v="Mobile"/>
    <n v="13274"/>
    <n v="378"/>
    <n v="11"/>
    <n v="435.34"/>
    <n v="670.73"/>
    <n v="2.8476721410275727E-2"/>
    <n v="2.9100529100529099E-2"/>
    <n v="39.576363636363631"/>
    <n v="235.39000000000004"/>
    <n v="0.54070381770570142"/>
  </r>
  <r>
    <d v="2025-02-28T00:00:00"/>
    <x v="680"/>
    <x v="15"/>
    <x v="1"/>
    <x v="2"/>
    <x v="1"/>
    <s v="Mobile"/>
    <n v="14953"/>
    <n v="667"/>
    <n v="20"/>
    <n v="1244.3800000000001"/>
    <n v="1455.34"/>
    <n v="4.4606433491607034E-2"/>
    <n v="2.9985007496251874E-2"/>
    <n v="62.219000000000008"/>
    <n v="210.95999999999981"/>
    <n v="0.16953020781433306"/>
  </r>
  <r>
    <d v="2025-02-28T00:00:00"/>
    <x v="681"/>
    <x v="13"/>
    <x v="2"/>
    <x v="2"/>
    <x v="2"/>
    <s v="Tablet"/>
    <n v="3605"/>
    <n v="119"/>
    <n v="4"/>
    <n v="633.79"/>
    <n v="591.64"/>
    <n v="3.3009708737864081E-2"/>
    <n v="3.3613445378151259E-2"/>
    <n v="158.44749999999999"/>
    <n v="-42.149999999999977"/>
    <n v="-6.650467820571479E-2"/>
  </r>
  <r>
    <d v="2025-02-28T00:00:00"/>
    <x v="682"/>
    <x v="10"/>
    <x v="3"/>
    <x v="1"/>
    <x v="4"/>
    <s v="Mobile"/>
    <n v="21265"/>
    <n v="436"/>
    <n v="2"/>
    <n v="375.2"/>
    <n v="99.93"/>
    <n v="2.0503174229955325E-2"/>
    <n v="4.5871559633027525E-3"/>
    <n v="187.6"/>
    <n v="-275.27"/>
    <n v="-0.73366204690831549"/>
  </r>
  <r>
    <d v="2025-02-28T00:00:00"/>
    <x v="683"/>
    <x v="5"/>
    <x v="4"/>
    <x v="0"/>
    <x v="3"/>
    <s v="Desktop"/>
    <n v="1339"/>
    <n v="149"/>
    <n v="27"/>
    <n v="33.340000000000003"/>
    <n v="3007.63"/>
    <n v="0.11127707244212098"/>
    <n v="0.18120805369127516"/>
    <n v="1.234814814814815"/>
    <n v="2974.29"/>
    <n v="89.2108578284343"/>
  </r>
  <r>
    <d v="2025-02-28T00:00:00"/>
    <x v="684"/>
    <x v="12"/>
    <x v="0"/>
    <x v="0"/>
    <x v="0"/>
    <s v="Desktop"/>
    <n v="14977"/>
    <n v="877"/>
    <n v="53"/>
    <n v="1648.26"/>
    <n v="5841.9"/>
    <n v="5.8556453228283366E-2"/>
    <n v="6.0433295324971492E-2"/>
    <n v="31.099245283018867"/>
    <n v="4193.6399999999994"/>
    <n v="2.5442830621382546"/>
  </r>
  <r>
    <d v="2025-02-28T00:00:00"/>
    <x v="685"/>
    <x v="12"/>
    <x v="0"/>
    <x v="0"/>
    <x v="3"/>
    <s v="Mobile"/>
    <n v="6134"/>
    <n v="290"/>
    <n v="8"/>
    <n v="0"/>
    <n v="715.17"/>
    <n v="4.7277469840234759E-2"/>
    <n v="2.7586206896551724E-2"/>
    <n v="0"/>
    <n v="715.17"/>
    <n v="0"/>
  </r>
  <r>
    <d v="2025-02-28T00:00:00"/>
    <x v="686"/>
    <x v="4"/>
    <x v="3"/>
    <x v="2"/>
    <x v="0"/>
    <s v="Mobile"/>
    <n v="35705"/>
    <n v="1243"/>
    <n v="27"/>
    <n v="1606.02"/>
    <n v="2230.37"/>
    <n v="3.4813051393362271E-2"/>
    <n v="2.1721641190667738E-2"/>
    <n v="59.482222222222219"/>
    <n v="624.34999999999991"/>
    <n v="0.38875605534177654"/>
  </r>
  <r>
    <d v="2025-02-28T00:00:00"/>
    <x v="687"/>
    <x v="7"/>
    <x v="2"/>
    <x v="0"/>
    <x v="1"/>
    <s v="Tablet"/>
    <n v="2118"/>
    <n v="83"/>
    <n v="1"/>
    <n v="379.79"/>
    <n v="34.840000000000003"/>
    <n v="3.9187913125590182E-2"/>
    <n v="1.2048192771084338E-2"/>
    <n v="379.79"/>
    <n v="-344.95000000000005"/>
    <n v="-0.90826509386766374"/>
  </r>
  <r>
    <d v="2025-02-28T00:00:00"/>
    <x v="688"/>
    <x v="17"/>
    <x v="0"/>
    <x v="1"/>
    <x v="0"/>
    <s v="Mobile"/>
    <n v="6905"/>
    <n v="213"/>
    <n v="4"/>
    <n v="332.63"/>
    <n v="373.96"/>
    <n v="3.0847212165097754E-2"/>
    <n v="1.8779342723004695E-2"/>
    <n v="83.157499999999999"/>
    <n v="41.329999999999984"/>
    <n v="0.12425217208309529"/>
  </r>
  <r>
    <d v="2025-03-01T00:00:00"/>
    <x v="689"/>
    <x v="6"/>
    <x v="3"/>
    <x v="2"/>
    <x v="4"/>
    <s v="Desktop"/>
    <n v="22931"/>
    <n v="478"/>
    <n v="12"/>
    <n v="472.45"/>
    <n v="713.63"/>
    <n v="2.0845144128036282E-2"/>
    <n v="2.5104602510460251E-2"/>
    <n v="39.37083333333333"/>
    <n v="241.18"/>
    <n v="0.51048788231558895"/>
  </r>
  <r>
    <d v="2025-03-01T00:00:00"/>
    <x v="690"/>
    <x v="11"/>
    <x v="1"/>
    <x v="0"/>
    <x v="4"/>
    <s v="Tablet"/>
    <n v="9309"/>
    <n v="322"/>
    <n v="7"/>
    <n v="475.77"/>
    <n v="653.71"/>
    <n v="3.4590181544741645E-2"/>
    <n v="2.1739130434782608E-2"/>
    <n v="67.967142857142861"/>
    <n v="177.94000000000005"/>
    <n v="0.37400424574899649"/>
  </r>
  <r>
    <d v="2025-03-01T00:00:00"/>
    <x v="691"/>
    <x v="19"/>
    <x v="4"/>
    <x v="0"/>
    <x v="1"/>
    <s v="Mobile"/>
    <n v="2940"/>
    <n v="424"/>
    <n v="54"/>
    <n v="192.38"/>
    <n v="5268.44"/>
    <n v="0.14421768707482993"/>
    <n v="0.12735849056603774"/>
    <n v="3.5625925925925923"/>
    <n v="5076.0599999999995"/>
    <n v="26.385591017777315"/>
  </r>
  <r>
    <d v="2025-03-01T00:00:00"/>
    <x v="692"/>
    <x v="4"/>
    <x v="3"/>
    <x v="1"/>
    <x v="0"/>
    <s v="Desktop"/>
    <n v="24648"/>
    <n v="264"/>
    <n v="3"/>
    <n v="261.27999999999997"/>
    <n v="183.61"/>
    <n v="1.0710808179162609E-2"/>
    <n v="1.1363636363636364E-2"/>
    <n v="87.09333333333332"/>
    <n v="-77.669999999999959"/>
    <n v="-0.29726729944886698"/>
  </r>
  <r>
    <d v="2025-03-01T00:00:00"/>
    <x v="693"/>
    <x v="18"/>
    <x v="4"/>
    <x v="2"/>
    <x v="4"/>
    <s v="Mobile"/>
    <n v="2728"/>
    <n v="430"/>
    <n v="80"/>
    <n v="128.47"/>
    <n v="6964.69"/>
    <n v="0.15762463343108504"/>
    <n v="0.18604651162790697"/>
    <n v="1.6058749999999999"/>
    <n v="6836.2199999999993"/>
    <n v="53.212578812174044"/>
  </r>
  <r>
    <d v="2025-03-01T00:00:00"/>
    <x v="694"/>
    <x v="5"/>
    <x v="4"/>
    <x v="2"/>
    <x v="1"/>
    <s v="Mobile"/>
    <n v="3149"/>
    <n v="452"/>
    <n v="56"/>
    <n v="118.84"/>
    <n v="5497.33"/>
    <n v="0.14353763099396633"/>
    <n v="0.12389380530973451"/>
    <n v="2.1221428571428573"/>
    <n v="5378.49"/>
    <n v="45.258246381689666"/>
  </r>
  <r>
    <d v="2025-03-01T00:00:00"/>
    <x v="695"/>
    <x v="16"/>
    <x v="2"/>
    <x v="0"/>
    <x v="2"/>
    <s v="Tablet"/>
    <n v="4909"/>
    <n v="199"/>
    <n v="4"/>
    <n v="1213.58"/>
    <n v="463.24"/>
    <n v="4.0537787736809938E-2"/>
    <n v="2.0100502512562814E-2"/>
    <n v="303.39499999999998"/>
    <n v="-750.33999999999992"/>
    <n v="-0.61828639232683458"/>
  </r>
  <r>
    <d v="2025-03-02T00:00:00"/>
    <x v="696"/>
    <x v="5"/>
    <x v="4"/>
    <x v="1"/>
    <x v="3"/>
    <s v="Mobile"/>
    <n v="1836"/>
    <n v="208"/>
    <n v="13"/>
    <n v="109.52"/>
    <n v="1468.64"/>
    <n v="0.11328976034858387"/>
    <n v="6.25E-2"/>
    <n v="8.4246153846153842"/>
    <n v="1359.1200000000001"/>
    <n v="12.409788166544924"/>
  </r>
  <r>
    <d v="2025-03-02T00:00:00"/>
    <x v="697"/>
    <x v="10"/>
    <x v="3"/>
    <x v="0"/>
    <x v="4"/>
    <s v="Tablet"/>
    <n v="36276"/>
    <n v="821"/>
    <n v="9"/>
    <n v="735.87"/>
    <n v="615.46"/>
    <n v="2.2632043224170249E-2"/>
    <n v="1.0962241169305725E-2"/>
    <n v="81.763333333333335"/>
    <n v="-120.40999999999997"/>
    <n v="-0.16362944541834831"/>
  </r>
  <r>
    <d v="2025-03-02T00:00:00"/>
    <x v="698"/>
    <x v="2"/>
    <x v="1"/>
    <x v="0"/>
    <x v="3"/>
    <s v="Desktop"/>
    <n v="16475"/>
    <n v="272"/>
    <n v="6"/>
    <n v="387.42"/>
    <n v="614.01"/>
    <n v="1.6509863429438543E-2"/>
    <n v="2.2058823529411766E-2"/>
    <n v="64.570000000000007"/>
    <n v="226.58999999999997"/>
    <n v="0.58486913427288201"/>
  </r>
  <r>
    <d v="2025-03-02T00:00:00"/>
    <x v="699"/>
    <x v="15"/>
    <x v="1"/>
    <x v="0"/>
    <x v="2"/>
    <s v="Mobile"/>
    <n v="18509"/>
    <n v="586"/>
    <n v="17"/>
    <n v="952.48"/>
    <n v="1490.14"/>
    <n v="3.1660273380517585E-2"/>
    <n v="2.9010238907849831E-2"/>
    <n v="56.02823529411765"/>
    <n v="537.66000000000008"/>
    <n v="0.5644842936334622"/>
  </r>
  <r>
    <d v="2025-03-02T00:00:00"/>
    <x v="700"/>
    <x v="6"/>
    <x v="3"/>
    <x v="1"/>
    <x v="0"/>
    <s v="Desktop"/>
    <n v="25258"/>
    <n v="164"/>
    <n v="2"/>
    <n v="167.55"/>
    <n v="30.9"/>
    <n v="6.4929923192651832E-3"/>
    <n v="1.2195121951219513E-2"/>
    <n v="83.775000000000006"/>
    <n v="-136.65"/>
    <n v="-0.81557743957027751"/>
  </r>
  <r>
    <d v="2025-03-02T00:00:00"/>
    <x v="701"/>
    <x v="17"/>
    <x v="0"/>
    <x v="2"/>
    <x v="1"/>
    <s v="Desktop"/>
    <n v="10327"/>
    <n v="419"/>
    <n v="34"/>
    <n v="1237"/>
    <n v="2766.28"/>
    <n v="4.0573254575384916E-2"/>
    <n v="8.1145584725536998E-2"/>
    <n v="36.382352941176471"/>
    <n v="1529.2800000000002"/>
    <n v="1.2362813257881975"/>
  </r>
  <r>
    <d v="2025-03-02T00:00:00"/>
    <x v="702"/>
    <x v="12"/>
    <x v="0"/>
    <x v="0"/>
    <x v="0"/>
    <s v="Mobile"/>
    <n v="14164"/>
    <n v="755"/>
    <n v="29"/>
    <n v="1777.98"/>
    <n v="3139.64"/>
    <n v="5.3304151369669588E-2"/>
    <n v="3.8410596026490065E-2"/>
    <n v="61.309655172413791"/>
    <n v="1361.6599999999999"/>
    <n v="0.76584663494527494"/>
  </r>
  <r>
    <d v="2025-03-02T00:00:00"/>
    <x v="703"/>
    <x v="9"/>
    <x v="4"/>
    <x v="0"/>
    <x v="2"/>
    <s v="Desktop"/>
    <n v="2820"/>
    <n v="320"/>
    <n v="33"/>
    <n v="101.45"/>
    <n v="3227.3"/>
    <n v="0.11347517730496454"/>
    <n v="0.10312499999999999"/>
    <n v="3.0742424242424242"/>
    <n v="3125.8500000000004"/>
    <n v="30.811729916214887"/>
  </r>
  <r>
    <d v="2025-03-02T00:00:00"/>
    <x v="704"/>
    <x v="4"/>
    <x v="3"/>
    <x v="2"/>
    <x v="1"/>
    <s v="Mobile"/>
    <n v="29087"/>
    <n v="998"/>
    <n v="21"/>
    <n v="994.85"/>
    <n v="1323.06"/>
    <n v="3.4310860521882626E-2"/>
    <n v="2.1042084168336674E-2"/>
    <n v="47.373809523809527"/>
    <n v="328.20999999999992"/>
    <n v="0.32990903151228818"/>
  </r>
  <r>
    <d v="2025-03-02T00:00:00"/>
    <x v="705"/>
    <x v="15"/>
    <x v="1"/>
    <x v="0"/>
    <x v="3"/>
    <s v="Tablet"/>
    <n v="15785"/>
    <n v="649"/>
    <n v="20"/>
    <n v="1172.52"/>
    <n v="1149.18"/>
    <n v="4.1114982578397213E-2"/>
    <n v="3.0816640986132512E-2"/>
    <n v="58.625999999999998"/>
    <n v="-23.339999999999918"/>
    <n v="-1.9905843823559442E-2"/>
  </r>
  <r>
    <d v="2025-03-02T00:00:00"/>
    <x v="706"/>
    <x v="19"/>
    <x v="4"/>
    <x v="2"/>
    <x v="3"/>
    <s v="Mobile"/>
    <n v="1965"/>
    <n v="216"/>
    <n v="47"/>
    <n v="81.58"/>
    <n v="5428.57"/>
    <n v="0.1099236641221374"/>
    <n v="0.21759259259259259"/>
    <n v="1.7357446808510637"/>
    <n v="5346.99"/>
    <n v="65.542902672223576"/>
  </r>
  <r>
    <d v="2025-03-02T00:00:00"/>
    <x v="707"/>
    <x v="19"/>
    <x v="4"/>
    <x v="1"/>
    <x v="1"/>
    <s v="Tablet"/>
    <n v="1386"/>
    <n v="144"/>
    <n v="17"/>
    <n v="60.63"/>
    <n v="1437.03"/>
    <n v="0.1038961038961039"/>
    <n v="0.11805555555555555"/>
    <n v="3.5664705882352941"/>
    <n v="1376.3999999999999"/>
    <n v="22.701632855022265"/>
  </r>
  <r>
    <d v="2025-03-03T00:00:00"/>
    <x v="708"/>
    <x v="18"/>
    <x v="4"/>
    <x v="0"/>
    <x v="4"/>
    <s v="Mobile"/>
    <n v="2325"/>
    <n v="249"/>
    <n v="27"/>
    <n v="111.79"/>
    <n v="2439.25"/>
    <n v="0.10709677419354839"/>
    <n v="0.10843373493975904"/>
    <n v="4.1403703703703707"/>
    <n v="2327.46"/>
    <n v="20.819930226317201"/>
  </r>
  <r>
    <d v="2025-03-03T00:00:00"/>
    <x v="709"/>
    <x v="13"/>
    <x v="2"/>
    <x v="0"/>
    <x v="4"/>
    <s v="Mobile"/>
    <n v="4944"/>
    <n v="212"/>
    <n v="2"/>
    <n v="1366.92"/>
    <n v="229.9"/>
    <n v="4.2880258899676373E-2"/>
    <n v="9.433962264150943E-3"/>
    <n v="683.46"/>
    <n v="-1137.02"/>
    <n v="-0.83181166417932284"/>
  </r>
  <r>
    <d v="2025-03-03T00:00:00"/>
    <x v="710"/>
    <x v="7"/>
    <x v="2"/>
    <x v="2"/>
    <x v="3"/>
    <s v="Mobile"/>
    <n v="3789"/>
    <n v="208"/>
    <n v="3"/>
    <n v="1507.96"/>
    <n v="553.41"/>
    <n v="5.489575085774611E-2"/>
    <n v="1.4423076923076924E-2"/>
    <n v="502.65333333333336"/>
    <n v="-954.55000000000007"/>
    <n v="-0.63300750683041995"/>
  </r>
  <r>
    <d v="2025-03-03T00:00:00"/>
    <x v="711"/>
    <x v="11"/>
    <x v="1"/>
    <x v="2"/>
    <x v="3"/>
    <s v="Desktop"/>
    <n v="9890"/>
    <n v="280"/>
    <n v="11"/>
    <n v="339.03"/>
    <n v="673.9"/>
    <n v="2.8311425682507583E-2"/>
    <n v="3.9285714285714285E-2"/>
    <n v="30.820909090909087"/>
    <n v="334.87"/>
    <n v="0.98772969943662814"/>
  </r>
  <r>
    <d v="2025-03-03T00:00:00"/>
    <x v="712"/>
    <x v="13"/>
    <x v="2"/>
    <x v="0"/>
    <x v="1"/>
    <s v="Mobile"/>
    <n v="2308"/>
    <n v="90"/>
    <n v="1"/>
    <n v="542.64"/>
    <n v="111.35"/>
    <n v="3.8994800693240898E-2"/>
    <n v="1.1111111111111112E-2"/>
    <n v="542.64"/>
    <n v="-431.28999999999996"/>
    <n v="-0.79479949874686717"/>
  </r>
  <r>
    <d v="2025-03-03T00:00:00"/>
    <x v="713"/>
    <x v="19"/>
    <x v="4"/>
    <x v="1"/>
    <x v="2"/>
    <s v="Mobile"/>
    <n v="2903"/>
    <n v="271"/>
    <n v="20"/>
    <n v="119.43"/>
    <n v="2590.34"/>
    <n v="9.3351705132621421E-2"/>
    <n v="7.3800738007380073E-2"/>
    <n v="5.9715000000000007"/>
    <n v="2470.9100000000003"/>
    <n v="20.689190320689946"/>
  </r>
  <r>
    <d v="2025-03-03T00:00:00"/>
    <x v="714"/>
    <x v="18"/>
    <x v="4"/>
    <x v="0"/>
    <x v="2"/>
    <s v="Mobile"/>
    <n v="1820"/>
    <n v="265"/>
    <n v="32"/>
    <n v="110.46"/>
    <n v="2985.74"/>
    <n v="0.14560439560439561"/>
    <n v="0.12075471698113208"/>
    <n v="3.4518749999999998"/>
    <n v="2875.2799999999997"/>
    <n v="26.030056128915444"/>
  </r>
  <r>
    <d v="2025-03-03T00:00:00"/>
    <x v="715"/>
    <x v="6"/>
    <x v="3"/>
    <x v="1"/>
    <x v="3"/>
    <s v="Desktop"/>
    <n v="38197"/>
    <n v="895"/>
    <n v="6"/>
    <n v="906.09"/>
    <n v="48.76"/>
    <n v="2.343115951514517E-2"/>
    <n v="6.7039106145251395E-3"/>
    <n v="151.01500000000001"/>
    <n v="-857.33"/>
    <n v="-0.94618636117824939"/>
  </r>
  <r>
    <d v="2025-03-04T00:00:00"/>
    <x v="716"/>
    <x v="14"/>
    <x v="1"/>
    <x v="0"/>
    <x v="1"/>
    <s v="Mobile"/>
    <n v="16813"/>
    <n v="688"/>
    <n v="14"/>
    <n v="807.32"/>
    <n v="836.6"/>
    <n v="4.0920716112531973E-2"/>
    <n v="2.0348837209302327E-2"/>
    <n v="57.665714285714287"/>
    <n v="29.279999999999973"/>
    <n v="3.6268146459891952E-2"/>
  </r>
  <r>
    <d v="2025-03-04T00:00:00"/>
    <x v="717"/>
    <x v="17"/>
    <x v="0"/>
    <x v="2"/>
    <x v="2"/>
    <s v="Mobile"/>
    <n v="10394"/>
    <n v="533"/>
    <n v="19"/>
    <n v="1240.28"/>
    <n v="1897.47"/>
    <n v="5.127958437560131E-2"/>
    <n v="3.5647279549718573E-2"/>
    <n v="65.2778947368421"/>
    <n v="657.19"/>
    <n v="0.5298722869029574"/>
  </r>
  <r>
    <d v="2025-03-04T00:00:00"/>
    <x v="718"/>
    <x v="12"/>
    <x v="0"/>
    <x v="0"/>
    <x v="4"/>
    <s v="Mobile"/>
    <n v="9040"/>
    <n v="504"/>
    <n v="13"/>
    <n v="907.45"/>
    <n v="1113.76"/>
    <n v="5.575221238938053E-2"/>
    <n v="2.5793650793650792E-2"/>
    <n v="69.803846153846152"/>
    <n v="206.30999999999995"/>
    <n v="0.22735136922144464"/>
  </r>
  <r>
    <d v="2025-03-04T00:00:00"/>
    <x v="719"/>
    <x v="12"/>
    <x v="0"/>
    <x v="2"/>
    <x v="2"/>
    <s v="Mobile"/>
    <n v="14243"/>
    <n v="925"/>
    <n v="42"/>
    <n v="1696.83"/>
    <n v="2846.96"/>
    <n v="6.4944183107491393E-2"/>
    <n v="4.5405405405405407E-2"/>
    <n v="40.400714285714287"/>
    <n v="1150.1300000000001"/>
    <n v="0.67781097693935166"/>
  </r>
  <r>
    <d v="2025-03-04T00:00:00"/>
    <x v="720"/>
    <x v="15"/>
    <x v="1"/>
    <x v="0"/>
    <x v="4"/>
    <s v="Desktop"/>
    <n v="11962"/>
    <n v="355"/>
    <n v="7"/>
    <n v="427.08"/>
    <n v="447.11"/>
    <n v="2.9677311486373516E-2"/>
    <n v="1.9718309859154931E-2"/>
    <n v="61.011428571428567"/>
    <n v="20.03000000000003"/>
    <n v="4.6899878242952213E-2"/>
  </r>
  <r>
    <d v="2025-03-04T00:00:00"/>
    <x v="721"/>
    <x v="2"/>
    <x v="1"/>
    <x v="2"/>
    <x v="0"/>
    <s v="Mobile"/>
    <n v="12972"/>
    <n v="475"/>
    <n v="14"/>
    <n v="619.89"/>
    <n v="1213.73"/>
    <n v="3.6617329633055813E-2"/>
    <n v="2.9473684210526315E-2"/>
    <n v="44.277857142857144"/>
    <n v="593.84"/>
    <n v="0.95797641517043353"/>
  </r>
  <r>
    <d v="2025-03-05T00:00:00"/>
    <x v="722"/>
    <x v="3"/>
    <x v="2"/>
    <x v="2"/>
    <x v="3"/>
    <s v="Mobile"/>
    <n v="5232"/>
    <n v="173"/>
    <n v="3"/>
    <n v="1255.17"/>
    <n v="521.78"/>
    <n v="3.3065749235474007E-2"/>
    <n v="1.7341040462427744E-2"/>
    <n v="418.39000000000004"/>
    <n v="-733.3900000000001"/>
    <n v="-0.58429535441414315"/>
  </r>
  <r>
    <d v="2025-03-05T00:00:00"/>
    <x v="723"/>
    <x v="11"/>
    <x v="1"/>
    <x v="0"/>
    <x v="2"/>
    <s v="Mobile"/>
    <n v="18943"/>
    <n v="754"/>
    <n v="20"/>
    <n v="750.3"/>
    <n v="1528.37"/>
    <n v="3.9803621390487251E-2"/>
    <n v="2.6525198938992044E-2"/>
    <n v="37.515000000000001"/>
    <n v="778.06999999999994"/>
    <n v="1.037011861921898"/>
  </r>
  <r>
    <d v="2025-03-05T00:00:00"/>
    <x v="724"/>
    <x v="9"/>
    <x v="4"/>
    <x v="2"/>
    <x v="2"/>
    <s v="Mobile"/>
    <n v="1809"/>
    <n v="227"/>
    <n v="30"/>
    <n v="95.11"/>
    <n v="4106.42"/>
    <n v="0.12548369264787176"/>
    <n v="0.13215859030837004"/>
    <n v="3.1703333333333332"/>
    <n v="4011.31"/>
    <n v="42.175481021974555"/>
  </r>
  <r>
    <d v="2025-03-05T00:00:00"/>
    <x v="725"/>
    <x v="1"/>
    <x v="0"/>
    <x v="1"/>
    <x v="0"/>
    <s v="Mobile"/>
    <n v="6050"/>
    <n v="196"/>
    <n v="5"/>
    <n v="363.93"/>
    <n v="348.29"/>
    <n v="3.239669421487603E-2"/>
    <n v="2.5510204081632654E-2"/>
    <n v="72.786000000000001"/>
    <n v="-15.639999999999986"/>
    <n v="-4.297529744731126E-2"/>
  </r>
  <r>
    <d v="2025-03-05T00:00:00"/>
    <x v="726"/>
    <x v="18"/>
    <x v="4"/>
    <x v="0"/>
    <x v="3"/>
    <s v="Desktop"/>
    <n v="3594"/>
    <n v="301"/>
    <n v="48"/>
    <n v="84.96"/>
    <n v="4739.95"/>
    <n v="8.3750695603784078E-2"/>
    <n v="0.15946843853820597"/>
    <n v="1.7699999999999998"/>
    <n v="4654.99"/>
    <n v="54.790371939736346"/>
  </r>
  <r>
    <d v="2025-03-05T00:00:00"/>
    <x v="727"/>
    <x v="6"/>
    <x v="3"/>
    <x v="0"/>
    <x v="1"/>
    <s v="Mobile"/>
    <n v="16875"/>
    <n v="368"/>
    <n v="4"/>
    <n v="389.82"/>
    <n v="315.11"/>
    <n v="2.1807407407407407E-2"/>
    <n v="1.0869565217391304E-2"/>
    <n v="97.454999999999998"/>
    <n v="-74.70999999999998"/>
    <n v="-0.19165255759068284"/>
  </r>
  <r>
    <d v="2025-03-05T00:00:00"/>
    <x v="728"/>
    <x v="13"/>
    <x v="2"/>
    <x v="1"/>
    <x v="1"/>
    <s v="Mobile"/>
    <n v="3519"/>
    <n v="153"/>
    <n v="1"/>
    <n v="1075.73"/>
    <n v="110.52"/>
    <n v="4.3478260869565216E-2"/>
    <n v="6.5359477124183009E-3"/>
    <n v="1075.73"/>
    <n v="-965.21"/>
    <n v="-0.89726046498656731"/>
  </r>
  <r>
    <d v="2025-03-05T00:00:00"/>
    <x v="729"/>
    <x v="16"/>
    <x v="2"/>
    <x v="0"/>
    <x v="0"/>
    <s v="Desktop"/>
    <n v="4145"/>
    <n v="173"/>
    <n v="4"/>
    <n v="1026.8599999999999"/>
    <n v="473.16"/>
    <n v="4.1737032569360677E-2"/>
    <n v="2.3121387283236993E-2"/>
    <n v="256.71499999999997"/>
    <n v="-553.69999999999982"/>
    <n v="-0.53921664102214506"/>
  </r>
  <r>
    <d v="2025-03-06T00:00:00"/>
    <x v="730"/>
    <x v="16"/>
    <x v="2"/>
    <x v="2"/>
    <x v="0"/>
    <s v="Mobile"/>
    <n v="2438"/>
    <n v="126"/>
    <n v="4"/>
    <n v="638.54999999999995"/>
    <n v="797.31"/>
    <n v="5.1681706316652996E-2"/>
    <n v="3.1746031746031744E-2"/>
    <n v="159.63749999999999"/>
    <n v="158.76"/>
    <n v="0.24862579281183933"/>
  </r>
  <r>
    <d v="2025-03-06T00:00:00"/>
    <x v="731"/>
    <x v="4"/>
    <x v="3"/>
    <x v="0"/>
    <x v="0"/>
    <s v="Desktop"/>
    <n v="35160"/>
    <n v="455"/>
    <n v="7"/>
    <n v="578.80999999999995"/>
    <n v="321.42"/>
    <n v="1.2940841865756541E-2"/>
    <n v="1.5384615384615385E-2"/>
    <n v="82.687142857142845"/>
    <n v="-257.38999999999993"/>
    <n v="-0.4446882396641384"/>
  </r>
  <r>
    <d v="2025-03-06T00:00:00"/>
    <x v="732"/>
    <x v="1"/>
    <x v="0"/>
    <x v="1"/>
    <x v="0"/>
    <s v="Mobile"/>
    <n v="9647"/>
    <n v="319"/>
    <n v="6"/>
    <n v="508.63"/>
    <n v="371.41"/>
    <n v="3.3067274800456098E-2"/>
    <n v="1.8808777429467086E-2"/>
    <n v="84.771666666666661"/>
    <n v="-137.21999999999997"/>
    <n v="-0.2697835361657786"/>
  </r>
  <r>
    <d v="2025-03-06T00:00:00"/>
    <x v="733"/>
    <x v="3"/>
    <x v="2"/>
    <x v="2"/>
    <x v="0"/>
    <s v="Mobile"/>
    <n v="6373"/>
    <n v="186"/>
    <n v="5"/>
    <n v="1060.72"/>
    <n v="600.54999999999995"/>
    <n v="2.9185626863329671E-2"/>
    <n v="2.6881720430107527E-2"/>
    <n v="212.14400000000001"/>
    <n v="-460.17000000000007"/>
    <n v="-0.43382796590994804"/>
  </r>
  <r>
    <d v="2025-03-06T00:00:00"/>
    <x v="734"/>
    <x v="9"/>
    <x v="4"/>
    <x v="0"/>
    <x v="3"/>
    <s v="Mobile"/>
    <n v="3425"/>
    <n v="314"/>
    <n v="23"/>
    <n v="82.58"/>
    <n v="2822.76"/>
    <n v="9.1678832116788317E-2"/>
    <n v="7.32484076433121E-2"/>
    <n v="3.5904347826086958"/>
    <n v="2740.1800000000003"/>
    <n v="33.18212642286268"/>
  </r>
  <r>
    <d v="2025-03-06T00:00:00"/>
    <x v="735"/>
    <x v="7"/>
    <x v="2"/>
    <x v="0"/>
    <x v="0"/>
    <s v="Mobile"/>
    <n v="2806"/>
    <n v="114"/>
    <n v="2"/>
    <n v="598.26"/>
    <n v="260.3"/>
    <n v="4.0627227369921595E-2"/>
    <n v="1.7543859649122806E-2"/>
    <n v="299.13"/>
    <n v="-337.96"/>
    <n v="-0.56490489085013207"/>
  </r>
  <r>
    <d v="2025-03-06T00:00:00"/>
    <x v="736"/>
    <x v="12"/>
    <x v="0"/>
    <x v="1"/>
    <x v="0"/>
    <s v="Desktop"/>
    <n v="11482"/>
    <n v="546"/>
    <n v="21"/>
    <n v="1269.05"/>
    <n v="1693.82"/>
    <n v="4.7552691168785924E-2"/>
    <n v="3.8461538461538464E-2"/>
    <n v="60.430952380952377"/>
    <n v="424.77"/>
    <n v="0.33471494424963555"/>
  </r>
  <r>
    <d v="2025-03-06T00:00:00"/>
    <x v="737"/>
    <x v="17"/>
    <x v="0"/>
    <x v="0"/>
    <x v="3"/>
    <s v="Desktop"/>
    <n v="13819"/>
    <n v="580"/>
    <n v="20"/>
    <n v="1147.8"/>
    <n v="1274.0999999999999"/>
    <n v="4.1971199073739057E-2"/>
    <n v="3.4482758620689655E-2"/>
    <n v="57.39"/>
    <n v="126.29999999999995"/>
    <n v="0.11003659174072135"/>
  </r>
  <r>
    <d v="2025-03-06T00:00:00"/>
    <x v="738"/>
    <x v="10"/>
    <x v="3"/>
    <x v="1"/>
    <x v="0"/>
    <s v="Mobile"/>
    <n v="28372"/>
    <n v="730"/>
    <n v="4"/>
    <n v="585.44000000000005"/>
    <n v="299.25"/>
    <n v="2.5729592556041167E-2"/>
    <n v="5.4794520547945206E-3"/>
    <n v="146.36000000000001"/>
    <n v="-286.19000000000005"/>
    <n v="-0.48884599617381802"/>
  </r>
  <r>
    <d v="2025-03-06T00:00:00"/>
    <x v="739"/>
    <x v="17"/>
    <x v="0"/>
    <x v="0"/>
    <x v="4"/>
    <s v="Desktop"/>
    <n v="6969"/>
    <n v="240"/>
    <n v="7"/>
    <n v="494.64"/>
    <n v="728.45"/>
    <n v="3.4438226431338786E-2"/>
    <n v="2.9166666666666667E-2"/>
    <n v="70.662857142857135"/>
    <n v="233.81000000000006"/>
    <n v="0.47268720685751264"/>
  </r>
  <r>
    <d v="2025-03-06T00:00:00"/>
    <x v="740"/>
    <x v="17"/>
    <x v="0"/>
    <x v="1"/>
    <x v="0"/>
    <s v="Mobile"/>
    <n v="11215"/>
    <n v="474"/>
    <n v="13"/>
    <n v="1239.4100000000001"/>
    <n v="1404.86"/>
    <n v="4.2264823896567098E-2"/>
    <n v="2.7426160337552744E-2"/>
    <n v="95.339230769230781"/>
    <n v="165.44999999999982"/>
    <n v="0.13349093520304001"/>
  </r>
  <r>
    <d v="2025-03-06T00:00:00"/>
    <x v="741"/>
    <x v="12"/>
    <x v="0"/>
    <x v="0"/>
    <x v="4"/>
    <s v="Mobile"/>
    <n v="14192"/>
    <n v="569"/>
    <n v="20"/>
    <n v="1414.89"/>
    <n v="2255.31"/>
    <n v="4.0093010146561442E-2"/>
    <n v="3.5149384885764502E-2"/>
    <n v="70.744500000000002"/>
    <n v="840.41999999999985"/>
    <n v="0.59398257108326424"/>
  </r>
  <r>
    <d v="2025-03-06T00:00:00"/>
    <x v="742"/>
    <x v="9"/>
    <x v="4"/>
    <x v="1"/>
    <x v="3"/>
    <s v="Mobile"/>
    <n v="1416"/>
    <n v="205"/>
    <n v="20"/>
    <n v="103.59"/>
    <n v="1636.72"/>
    <n v="0.14477401129943504"/>
    <n v="9.7560975609756101E-2"/>
    <n v="5.1795"/>
    <n v="1533.13"/>
    <n v="14.799980693117098"/>
  </r>
  <r>
    <d v="2025-03-07T00:00:00"/>
    <x v="743"/>
    <x v="0"/>
    <x v="0"/>
    <x v="2"/>
    <x v="3"/>
    <s v="Mobile"/>
    <n v="12513"/>
    <n v="771"/>
    <n v="32"/>
    <n v="2411.04"/>
    <n v="2901.45"/>
    <n v="6.161591944377847E-2"/>
    <n v="4.1504539559014265E-2"/>
    <n v="75.344999999999999"/>
    <n v="490.40999999999985"/>
    <n v="0.20340185148317733"/>
  </r>
  <r>
    <d v="2025-03-07T00:00:00"/>
    <x v="744"/>
    <x v="12"/>
    <x v="0"/>
    <x v="2"/>
    <x v="1"/>
    <s v="Mobile"/>
    <n v="12639"/>
    <n v="902"/>
    <n v="48"/>
    <n v="1575.6"/>
    <n v="3378.12"/>
    <n v="7.1366405570060923E-2"/>
    <n v="5.3215077605321508E-2"/>
    <n v="32.824999999999996"/>
    <n v="1802.52"/>
    <n v="1.144021325209444"/>
  </r>
  <r>
    <d v="2025-03-07T00:00:00"/>
    <x v="745"/>
    <x v="15"/>
    <x v="1"/>
    <x v="2"/>
    <x v="1"/>
    <s v="Desktop"/>
    <n v="10343"/>
    <n v="434"/>
    <n v="19"/>
    <n v="552.95000000000005"/>
    <n v="1541.32"/>
    <n v="4.196074639853041E-2"/>
    <n v="4.377880184331797E-2"/>
    <n v="29.102631578947371"/>
    <n v="988.36999999999989"/>
    <n v="1.7874491364499498"/>
  </r>
  <r>
    <d v="2025-03-07T00:00:00"/>
    <x v="746"/>
    <x v="2"/>
    <x v="1"/>
    <x v="2"/>
    <x v="2"/>
    <s v="Desktop"/>
    <n v="14029"/>
    <n v="583"/>
    <n v="24"/>
    <n v="827.44"/>
    <n v="1692.76"/>
    <n v="4.1556775251265235E-2"/>
    <n v="4.1166380789022301E-2"/>
    <n v="34.476666666666667"/>
    <n v="865.31999999999994"/>
    <n v="1.0457797544232812"/>
  </r>
  <r>
    <d v="2025-03-07T00:00:00"/>
    <x v="747"/>
    <x v="6"/>
    <x v="3"/>
    <x v="0"/>
    <x v="1"/>
    <s v="Mobile"/>
    <n v="27990"/>
    <n v="783"/>
    <n v="5"/>
    <n v="681.07"/>
    <n v="378.5"/>
    <n v="2.7974276527331188E-2"/>
    <n v="6.3856960408684551E-3"/>
    <n v="136.214"/>
    <n v="-302.57000000000005"/>
    <n v="-0.44425683116272929"/>
  </r>
  <r>
    <d v="2025-03-07T00:00:00"/>
    <x v="748"/>
    <x v="12"/>
    <x v="0"/>
    <x v="2"/>
    <x v="2"/>
    <s v="Mobile"/>
    <n v="5122"/>
    <n v="227"/>
    <n v="10"/>
    <n v="0"/>
    <n v="957.82"/>
    <n v="4.431862553689965E-2"/>
    <n v="4.405286343612335E-2"/>
    <n v="0"/>
    <n v="957.82"/>
    <n v="0"/>
  </r>
  <r>
    <d v="2025-03-07T00:00:00"/>
    <x v="749"/>
    <x v="13"/>
    <x v="2"/>
    <x v="0"/>
    <x v="0"/>
    <s v="Desktop"/>
    <n v="4435"/>
    <n v="120"/>
    <n v="1"/>
    <n v="736.5"/>
    <n v="33.369999999999997"/>
    <n v="2.7057497181510709E-2"/>
    <n v="8.3333333333333332E-3"/>
    <n v="736.5"/>
    <n v="-703.13"/>
    <n v="-0.95469110658520029"/>
  </r>
  <r>
    <d v="2025-03-07T00:00:00"/>
    <x v="750"/>
    <x v="3"/>
    <x v="2"/>
    <x v="0"/>
    <x v="3"/>
    <s v="Mobile"/>
    <n v="5983"/>
    <n v="331"/>
    <n v="7"/>
    <n v="2673.81"/>
    <n v="1057.6099999999999"/>
    <n v="5.5323416346314561E-2"/>
    <n v="2.1148036253776436E-2"/>
    <n v="381.97285714285715"/>
    <n v="-1616.2"/>
    <n v="-0.60445581398827897"/>
  </r>
  <r>
    <d v="2025-03-07T00:00:00"/>
    <x v="751"/>
    <x v="0"/>
    <x v="0"/>
    <x v="0"/>
    <x v="1"/>
    <s v="Mobile"/>
    <n v="8745"/>
    <n v="324"/>
    <n v="12"/>
    <n v="784.88"/>
    <n v="862.39"/>
    <n v="3.704974271012007E-2"/>
    <n v="3.7037037037037035E-2"/>
    <n v="65.406666666666666"/>
    <n v="77.509999999999991"/>
    <n v="9.8753949648353878E-2"/>
  </r>
  <r>
    <d v="2025-03-07T00:00:00"/>
    <x v="752"/>
    <x v="6"/>
    <x v="3"/>
    <x v="0"/>
    <x v="3"/>
    <s v="Desktop"/>
    <n v="22172"/>
    <n v="327"/>
    <n v="5"/>
    <n v="517.57000000000005"/>
    <n v="320.62"/>
    <n v="1.4748331228576583E-2"/>
    <n v="1.5290519877675841E-2"/>
    <n v="103.51400000000001"/>
    <n v="-196.95000000000005"/>
    <n v="-0.38052823772629796"/>
  </r>
  <r>
    <d v="2025-03-08T00:00:00"/>
    <x v="753"/>
    <x v="4"/>
    <x v="3"/>
    <x v="2"/>
    <x v="2"/>
    <s v="Mobile"/>
    <n v="32918"/>
    <n v="1105"/>
    <n v="10"/>
    <n v="1331.53"/>
    <n v="599.23"/>
    <n v="3.3568260526155899E-2"/>
    <n v="9.0497737556561094E-3"/>
    <n v="133.15299999999999"/>
    <n v="-732.3"/>
    <n v="-0.54996883284642473"/>
  </r>
  <r>
    <d v="2025-03-08T00:00:00"/>
    <x v="754"/>
    <x v="13"/>
    <x v="2"/>
    <x v="0"/>
    <x v="3"/>
    <s v="Mobile"/>
    <n v="6128"/>
    <n v="238"/>
    <n v="3"/>
    <n v="1853.43"/>
    <n v="351.53"/>
    <n v="3.8838120104438642E-2"/>
    <n v="1.2605042016806723E-2"/>
    <n v="617.81000000000006"/>
    <n v="-1501.9"/>
    <n v="-0.81033543214472625"/>
  </r>
  <r>
    <d v="2025-03-08T00:00:00"/>
    <x v="755"/>
    <x v="15"/>
    <x v="1"/>
    <x v="0"/>
    <x v="3"/>
    <s v="Desktop"/>
    <n v="16057"/>
    <n v="387"/>
    <n v="14"/>
    <n v="769.47"/>
    <n v="1460.4"/>
    <n v="2.4101637914928069E-2"/>
    <n v="3.6175710594315243E-2"/>
    <n v="54.962142857142858"/>
    <n v="690.93000000000006"/>
    <n v="0.89792974384966284"/>
  </r>
  <r>
    <d v="2025-03-08T00:00:00"/>
    <x v="756"/>
    <x v="11"/>
    <x v="1"/>
    <x v="0"/>
    <x v="0"/>
    <s v="Desktop"/>
    <n v="14425"/>
    <n v="587"/>
    <n v="13"/>
    <n v="750.01"/>
    <n v="791.89"/>
    <n v="4.0693240901213172E-2"/>
    <n v="2.2146507666098807E-2"/>
    <n v="57.693076923076923"/>
    <n v="41.879999999999995"/>
    <n v="5.5839255476593637E-2"/>
  </r>
  <r>
    <d v="2025-03-08T00:00:00"/>
    <x v="757"/>
    <x v="13"/>
    <x v="2"/>
    <x v="2"/>
    <x v="4"/>
    <s v="Desktop"/>
    <n v="5518"/>
    <n v="126"/>
    <n v="2"/>
    <n v="594.12"/>
    <n v="373.79"/>
    <n v="2.2834360275462123E-2"/>
    <n v="1.5873015873015872E-2"/>
    <n v="297.06"/>
    <n v="-220.32999999999998"/>
    <n v="-0.37085100653066716"/>
  </r>
  <r>
    <d v="2025-03-08T00:00:00"/>
    <x v="758"/>
    <x v="8"/>
    <x v="3"/>
    <x v="0"/>
    <x v="4"/>
    <s v="Desktop"/>
    <n v="20502"/>
    <n v="389"/>
    <n v="3"/>
    <n v="535.99"/>
    <n v="192.62"/>
    <n v="1.8973758657691932E-2"/>
    <n v="7.7120822622107968E-3"/>
    <n v="178.66333333333333"/>
    <n v="-343.37"/>
    <n v="-0.64062762364969494"/>
  </r>
  <r>
    <d v="2025-03-08T00:00:00"/>
    <x v="759"/>
    <x v="16"/>
    <x v="2"/>
    <x v="2"/>
    <x v="3"/>
    <s v="Mobile"/>
    <n v="5608"/>
    <n v="208"/>
    <n v="3"/>
    <n v="1572.83"/>
    <n v="374.52"/>
    <n v="3.7089871611982884E-2"/>
    <n v="1.4423076923076924E-2"/>
    <n v="524.27666666666664"/>
    <n v="-1198.31"/>
    <n v="-0.7618814493619781"/>
  </r>
  <r>
    <d v="2025-03-08T00:00:00"/>
    <x v="760"/>
    <x v="5"/>
    <x v="4"/>
    <x v="0"/>
    <x v="0"/>
    <s v="Mobile"/>
    <n v="2533"/>
    <n v="366"/>
    <n v="51"/>
    <n v="119.54"/>
    <n v="5423.6"/>
    <n v="0.14449269640742202"/>
    <n v="0.13934426229508196"/>
    <n v="2.3439215686274513"/>
    <n v="5304.06"/>
    <n v="44.370587251129329"/>
  </r>
  <r>
    <d v="2025-03-08T00:00:00"/>
    <x v="761"/>
    <x v="10"/>
    <x v="3"/>
    <x v="0"/>
    <x v="2"/>
    <s v="Mobile"/>
    <n v="22776"/>
    <n v="452"/>
    <n v="4"/>
    <n v="605.62"/>
    <n v="272.77999999999997"/>
    <n v="1.9845451352300668E-2"/>
    <n v="8.8495575221238937E-3"/>
    <n v="151.405"/>
    <n v="-332.84000000000003"/>
    <n v="-0.54958554869390053"/>
  </r>
  <r>
    <d v="2025-03-08T00:00:00"/>
    <x v="762"/>
    <x v="12"/>
    <x v="0"/>
    <x v="0"/>
    <x v="0"/>
    <s v="Mobile"/>
    <n v="8647"/>
    <n v="293"/>
    <n v="12"/>
    <n v="622.74"/>
    <n v="845.12"/>
    <n v="3.3884584248872439E-2"/>
    <n v="4.0955631399317405E-2"/>
    <n v="51.895000000000003"/>
    <n v="222.38"/>
    <n v="0.35709927096380512"/>
  </r>
  <r>
    <d v="2025-03-08T00:00:00"/>
    <x v="763"/>
    <x v="11"/>
    <x v="1"/>
    <x v="0"/>
    <x v="3"/>
    <s v="Mobile"/>
    <n v="16266"/>
    <n v="624"/>
    <n v="17"/>
    <n v="842.41"/>
    <n v="1274.9000000000001"/>
    <n v="3.8362227960162303E-2"/>
    <n v="2.7243589743589744E-2"/>
    <n v="49.553529411764707"/>
    <n v="432.49000000000012"/>
    <n v="0.51339608979000739"/>
  </r>
  <r>
    <d v="2025-03-09T00:00:00"/>
    <x v="764"/>
    <x v="16"/>
    <x v="2"/>
    <x v="1"/>
    <x v="3"/>
    <s v="Mobile"/>
    <n v="5897"/>
    <n v="171"/>
    <n v="2"/>
    <n v="787.97"/>
    <n v="198.44"/>
    <n v="2.8997795489231811E-2"/>
    <n v="1.1695906432748537E-2"/>
    <n v="393.98500000000001"/>
    <n v="-589.53"/>
    <n v="-0.74816300112948453"/>
  </r>
  <r>
    <d v="2025-03-09T00:00:00"/>
    <x v="765"/>
    <x v="5"/>
    <x v="4"/>
    <x v="0"/>
    <x v="0"/>
    <s v="Mobile"/>
    <n v="4293"/>
    <n v="438"/>
    <n v="58"/>
    <n v="150.5"/>
    <n v="7965.95"/>
    <n v="0.10202655485674354"/>
    <n v="0.13242009132420091"/>
    <n v="2.5948275862068964"/>
    <n v="7815.45"/>
    <n v="51.929900332225913"/>
  </r>
  <r>
    <d v="2025-03-09T00:00:00"/>
    <x v="766"/>
    <x v="19"/>
    <x v="4"/>
    <x v="2"/>
    <x v="1"/>
    <s v="Mobile"/>
    <n v="4905"/>
    <n v="518"/>
    <n v="104"/>
    <n v="135.52000000000001"/>
    <n v="11673.64"/>
    <n v="0.1056065239551478"/>
    <n v="0.20077220077220076"/>
    <n v="1.3030769230769232"/>
    <n v="11538.119999999999"/>
    <n v="85.139610389610382"/>
  </r>
  <r>
    <d v="2025-03-09T00:00:00"/>
    <x v="767"/>
    <x v="1"/>
    <x v="0"/>
    <x v="0"/>
    <x v="1"/>
    <s v="Mobile"/>
    <n v="7759"/>
    <n v="380"/>
    <n v="12"/>
    <n v="825.61"/>
    <n v="1026.07"/>
    <n v="4.8975383425699189E-2"/>
    <n v="3.1578947368421054E-2"/>
    <n v="68.80083333333333"/>
    <n v="200.45999999999992"/>
    <n v="0.24280229163890932"/>
  </r>
  <r>
    <d v="2025-03-09T00:00:00"/>
    <x v="768"/>
    <x v="8"/>
    <x v="3"/>
    <x v="0"/>
    <x v="0"/>
    <s v="Mobile"/>
    <n v="24924"/>
    <n v="780"/>
    <n v="6"/>
    <n v="697.34"/>
    <n v="372.23"/>
    <n v="3.1295137217140105E-2"/>
    <n v="7.6923076923076927E-3"/>
    <n v="116.22333333333334"/>
    <n v="-325.11"/>
    <n v="-0.46621447213697764"/>
  </r>
  <r>
    <d v="2025-03-09T00:00:00"/>
    <x v="769"/>
    <x v="6"/>
    <x v="3"/>
    <x v="0"/>
    <x v="4"/>
    <s v="Mobile"/>
    <n v="33834"/>
    <n v="1020"/>
    <n v="17"/>
    <n v="1254.3499999999999"/>
    <n v="716.57"/>
    <n v="3.0147189217946443E-2"/>
    <n v="1.6666666666666666E-2"/>
    <n v="73.785294117647055"/>
    <n v="-537.77999999999986"/>
    <n v="-0.42873201259616528"/>
  </r>
  <r>
    <d v="2025-03-09T00:00:00"/>
    <x v="770"/>
    <x v="1"/>
    <x v="0"/>
    <x v="0"/>
    <x v="2"/>
    <s v="Mobile"/>
    <n v="12653"/>
    <n v="453"/>
    <n v="18"/>
    <n v="1126.6199999999999"/>
    <n v="1762.16"/>
    <n v="3.580178613767486E-2"/>
    <n v="3.9735099337748346E-2"/>
    <n v="62.589999999999996"/>
    <n v="635.54000000000019"/>
    <n v="0.56411212298734292"/>
  </r>
  <r>
    <d v="2025-03-09T00:00:00"/>
    <x v="771"/>
    <x v="10"/>
    <x v="3"/>
    <x v="2"/>
    <x v="3"/>
    <s v="Desktop"/>
    <n v="33149"/>
    <n v="571"/>
    <n v="19"/>
    <n v="562.14"/>
    <n v="1073.99"/>
    <n v="1.7225255663820931E-2"/>
    <n v="3.3274956217162872E-2"/>
    <n v="29.586315789473684"/>
    <n v="511.85"/>
    <n v="0.91053830006759884"/>
  </r>
  <r>
    <d v="2025-03-09T00:00:00"/>
    <x v="772"/>
    <x v="14"/>
    <x v="1"/>
    <x v="2"/>
    <x v="0"/>
    <s v="Desktop"/>
    <n v="8027"/>
    <n v="328"/>
    <n v="11"/>
    <n v="351.81"/>
    <n v="698.74"/>
    <n v="4.0862090444748971E-2"/>
    <n v="3.3536585365853661E-2"/>
    <n v="31.982727272727274"/>
    <n v="346.93"/>
    <n v="0.98612887638213809"/>
  </r>
  <r>
    <d v="2025-03-09T00:00:00"/>
    <x v="773"/>
    <x v="19"/>
    <x v="4"/>
    <x v="0"/>
    <x v="3"/>
    <s v="Desktop"/>
    <n v="3995"/>
    <n v="493"/>
    <n v="88"/>
    <n v="207.64"/>
    <n v="11602.31"/>
    <n v="0.12340425531914893"/>
    <n v="0.17849898580121704"/>
    <n v="2.3595454545454544"/>
    <n v="11394.67"/>
    <n v="54.87704681178964"/>
  </r>
  <r>
    <d v="2025-03-09T00:00:00"/>
    <x v="774"/>
    <x v="1"/>
    <x v="0"/>
    <x v="0"/>
    <x v="2"/>
    <s v="Mobile"/>
    <n v="8100"/>
    <n v="375"/>
    <n v="15"/>
    <n v="619.85"/>
    <n v="1275.06"/>
    <n v="4.6296296296296294E-2"/>
    <n v="0.04"/>
    <n v="41.323333333333338"/>
    <n v="655.20999999999992"/>
    <n v="1.0570460595305313"/>
  </r>
  <r>
    <d v="2025-03-09T00:00:00"/>
    <x v="775"/>
    <x v="15"/>
    <x v="1"/>
    <x v="0"/>
    <x v="4"/>
    <s v="Mobile"/>
    <n v="11862"/>
    <n v="447"/>
    <n v="6"/>
    <n v="766.61"/>
    <n v="391.09"/>
    <n v="3.768335862417805E-2"/>
    <n v="1.3422818791946308E-2"/>
    <n v="127.76833333333333"/>
    <n v="-375.52000000000004"/>
    <n v="-0.48984490157968202"/>
  </r>
  <r>
    <d v="2025-03-09T00:00:00"/>
    <x v="776"/>
    <x v="7"/>
    <x v="2"/>
    <x v="2"/>
    <x v="3"/>
    <s v="Mobile"/>
    <n v="5016"/>
    <n v="187"/>
    <n v="4"/>
    <n v="1152.77"/>
    <n v="524.09"/>
    <n v="3.7280701754385963E-2"/>
    <n v="2.1390374331550801E-2"/>
    <n v="288.1925"/>
    <n v="-628.67999999999995"/>
    <n v="-0.54536464342410018"/>
  </r>
  <r>
    <d v="2025-03-09T00:00:00"/>
    <x v="777"/>
    <x v="14"/>
    <x v="1"/>
    <x v="2"/>
    <x v="0"/>
    <s v="Mobile"/>
    <n v="19776"/>
    <n v="828"/>
    <n v="30"/>
    <n v="1292.98"/>
    <n v="2966.59"/>
    <n v="4.1868932038834954E-2"/>
    <n v="3.6231884057971016E-2"/>
    <n v="43.099333333333334"/>
    <n v="1673.6100000000001"/>
    <n v="1.2943819703321011"/>
  </r>
  <r>
    <d v="2025-03-09T00:00:00"/>
    <x v="778"/>
    <x v="1"/>
    <x v="0"/>
    <x v="0"/>
    <x v="2"/>
    <s v="Desktop"/>
    <n v="11116"/>
    <n v="299"/>
    <n v="9"/>
    <n v="751.41"/>
    <n v="665.16"/>
    <n v="2.6898164807484706E-2"/>
    <n v="3.0100334448160536E-2"/>
    <n v="83.49"/>
    <n v="-86.25"/>
    <n v="-0.1147842056932966"/>
  </r>
  <r>
    <d v="2025-03-09T00:00:00"/>
    <x v="779"/>
    <x v="13"/>
    <x v="2"/>
    <x v="0"/>
    <x v="2"/>
    <s v="Mobile"/>
    <n v="4474"/>
    <n v="272"/>
    <n v="4"/>
    <n v="1229.51"/>
    <n v="676.04"/>
    <n v="6.0795708538220833E-2"/>
    <n v="1.4705882352941176E-2"/>
    <n v="307.3775"/>
    <n v="-553.47"/>
    <n v="-0.450154939772755"/>
  </r>
  <r>
    <d v="2025-03-09T00:00:00"/>
    <x v="780"/>
    <x v="3"/>
    <x v="2"/>
    <x v="2"/>
    <x v="2"/>
    <s v="Desktop"/>
    <n v="4466"/>
    <n v="120"/>
    <n v="2"/>
    <n v="820.68"/>
    <n v="425.97"/>
    <n v="2.6869682042095836E-2"/>
    <n v="1.6666666666666666E-2"/>
    <n v="410.34"/>
    <n v="-394.70999999999992"/>
    <n v="-0.48095481795584144"/>
  </r>
  <r>
    <d v="2025-03-10T00:00:00"/>
    <x v="781"/>
    <x v="13"/>
    <x v="2"/>
    <x v="0"/>
    <x v="2"/>
    <s v="Mobile"/>
    <n v="3711"/>
    <n v="128"/>
    <n v="2"/>
    <n v="716.46"/>
    <n v="233.47"/>
    <n v="3.4492050660199405E-2"/>
    <n v="1.5625E-2"/>
    <n v="358.23"/>
    <n v="-482.99"/>
    <n v="-0.67413393629790919"/>
  </r>
  <r>
    <d v="2025-03-10T00:00:00"/>
    <x v="782"/>
    <x v="3"/>
    <x v="2"/>
    <x v="0"/>
    <x v="2"/>
    <s v="Mobile"/>
    <n v="2543"/>
    <n v="70"/>
    <n v="1"/>
    <n v="496.75"/>
    <n v="137.78"/>
    <n v="2.7526543452615022E-2"/>
    <n v="1.4285714285714285E-2"/>
    <n v="496.75"/>
    <n v="-358.97"/>
    <n v="-0.72263714141922497"/>
  </r>
  <r>
    <d v="2025-03-10T00:00:00"/>
    <x v="783"/>
    <x v="18"/>
    <x v="4"/>
    <x v="1"/>
    <x v="2"/>
    <s v="Desktop"/>
    <n v="3325"/>
    <n v="249"/>
    <n v="27"/>
    <n v="58.4"/>
    <n v="2387.91"/>
    <n v="7.488721804511278E-2"/>
    <n v="0.10843373493975904"/>
    <n v="2.162962962962963"/>
    <n v="2329.5099999999998"/>
    <n v="39.888869863013696"/>
  </r>
  <r>
    <d v="2025-03-10T00:00:00"/>
    <x v="784"/>
    <x v="12"/>
    <x v="0"/>
    <x v="1"/>
    <x v="4"/>
    <s v="Mobile"/>
    <n v="6386"/>
    <n v="241"/>
    <n v="7"/>
    <n v="512.86"/>
    <n v="678.86"/>
    <n v="3.7738803632947071E-2"/>
    <n v="2.9045643153526972E-2"/>
    <n v="73.265714285714282"/>
    <n v="166"/>
    <n v="0.3236750770190695"/>
  </r>
  <r>
    <d v="2025-03-10T00:00:00"/>
    <x v="785"/>
    <x v="4"/>
    <x v="3"/>
    <x v="1"/>
    <x v="3"/>
    <s v="Mobile"/>
    <n v="39230"/>
    <n v="1042"/>
    <n v="7"/>
    <n v="958.14"/>
    <n v="506.09"/>
    <n v="2.6561305123629874E-2"/>
    <n v="6.7178502879078695E-3"/>
    <n v="136.87714285714284"/>
    <n v="-452.05"/>
    <n v="-0.4717995282526562"/>
  </r>
  <r>
    <d v="2025-03-10T00:00:00"/>
    <x v="786"/>
    <x v="0"/>
    <x v="0"/>
    <x v="0"/>
    <x v="0"/>
    <s v="Mobile"/>
    <n v="8895"/>
    <n v="286"/>
    <n v="10"/>
    <n v="802.28"/>
    <n v="800.7"/>
    <n v="3.215289488476672E-2"/>
    <n v="3.4965034965034968E-2"/>
    <n v="80.227999999999994"/>
    <n v="-1.5799999999999272"/>
    <n v="-1.969387246347818E-3"/>
  </r>
  <r>
    <d v="2025-03-10T00:00:00"/>
    <x v="787"/>
    <x v="5"/>
    <x v="4"/>
    <x v="2"/>
    <x v="3"/>
    <s v="Mobile"/>
    <n v="2053"/>
    <n v="290"/>
    <n v="51"/>
    <n v="91.63"/>
    <n v="5429.09"/>
    <n v="0.1412566975158305"/>
    <n v="0.17586206896551723"/>
    <n v="1.7966666666666666"/>
    <n v="5337.46"/>
    <n v="58.250136418203645"/>
  </r>
  <r>
    <d v="2025-03-10T00:00:00"/>
    <x v="788"/>
    <x v="0"/>
    <x v="0"/>
    <x v="0"/>
    <x v="0"/>
    <s v="Mobile"/>
    <n v="7508"/>
    <n v="356"/>
    <n v="16"/>
    <n v="575.16999999999996"/>
    <n v="1626.1"/>
    <n v="4.7416089504528504E-2"/>
    <n v="4.49438202247191E-2"/>
    <n v="35.948124999999997"/>
    <n v="1050.9299999999998"/>
    <n v="1.8271641427751795"/>
  </r>
  <r>
    <d v="2025-03-10T00:00:00"/>
    <x v="789"/>
    <x v="8"/>
    <x v="3"/>
    <x v="0"/>
    <x v="3"/>
    <s v="Desktop"/>
    <n v="35226"/>
    <n v="976"/>
    <n v="11"/>
    <n v="1375.68"/>
    <n v="806.51"/>
    <n v="2.7706807471753817E-2"/>
    <n v="1.1270491803278689E-2"/>
    <n v="125.06181818181818"/>
    <n v="-569.17000000000007"/>
    <n v="-0.41373720632705285"/>
  </r>
  <r>
    <d v="2025-03-11T00:00:00"/>
    <x v="790"/>
    <x v="12"/>
    <x v="0"/>
    <x v="1"/>
    <x v="2"/>
    <s v="Mobile"/>
    <n v="14949"/>
    <n v="788"/>
    <n v="16"/>
    <n v="1468.9"/>
    <n v="1464.95"/>
    <n v="5.2712556023814305E-2"/>
    <n v="2.030456852791878E-2"/>
    <n v="91.806250000000006"/>
    <n v="-3.9500000000000455"/>
    <n v="-2.6890870719586393E-3"/>
  </r>
  <r>
    <d v="2025-03-11T00:00:00"/>
    <x v="791"/>
    <x v="13"/>
    <x v="2"/>
    <x v="2"/>
    <x v="2"/>
    <s v="Desktop"/>
    <n v="3798"/>
    <n v="114"/>
    <n v="3"/>
    <n v="455.12"/>
    <n v="476.01"/>
    <n v="3.0015797788309637E-2"/>
    <n v="2.6315789473684209E-2"/>
    <n v="151.70666666666668"/>
    <n v="20.889999999999986"/>
    <n v="4.5899982422218287E-2"/>
  </r>
  <r>
    <d v="2025-03-11T00:00:00"/>
    <x v="792"/>
    <x v="7"/>
    <x v="2"/>
    <x v="0"/>
    <x v="3"/>
    <s v="Desktop"/>
    <n v="4417"/>
    <n v="194"/>
    <n v="3"/>
    <n v="1212.4000000000001"/>
    <n v="19.600000000000001"/>
    <n v="4.3921213493321259E-2"/>
    <n v="1.5463917525773196E-2"/>
    <n v="404.13333333333338"/>
    <n v="-1192.8000000000002"/>
    <n v="-0.98383371824480381"/>
  </r>
  <r>
    <d v="2025-03-11T00:00:00"/>
    <x v="793"/>
    <x v="7"/>
    <x v="2"/>
    <x v="0"/>
    <x v="1"/>
    <s v="Desktop"/>
    <n v="6753"/>
    <n v="277"/>
    <n v="3"/>
    <n v="2232.12"/>
    <n v="482.71"/>
    <n v="4.101880645638975E-2"/>
    <n v="1.0830324909747292E-2"/>
    <n v="744.04"/>
    <n v="-1749.4099999999999"/>
    <n v="-0.78374370553554462"/>
  </r>
  <r>
    <d v="2025-03-11T00:00:00"/>
    <x v="794"/>
    <x v="10"/>
    <x v="3"/>
    <x v="2"/>
    <x v="3"/>
    <s v="Mobile"/>
    <n v="38824"/>
    <n v="1066"/>
    <n v="23"/>
    <n v="1676.06"/>
    <n v="1352.09"/>
    <n v="2.7457242942509789E-2"/>
    <n v="2.1575984990619138E-2"/>
    <n v="72.872173913043483"/>
    <n v="-323.97000000000003"/>
    <n v="-0.19329260289011135"/>
  </r>
  <r>
    <d v="2025-03-11T00:00:00"/>
    <x v="795"/>
    <x v="10"/>
    <x v="3"/>
    <x v="0"/>
    <x v="4"/>
    <s v="Mobile"/>
    <n v="25198"/>
    <n v="406"/>
    <n v="4"/>
    <n v="454.44"/>
    <n v="222.78"/>
    <n v="1.6112389872212082E-2"/>
    <n v="9.852216748768473E-3"/>
    <n v="113.61"/>
    <n v="-231.66"/>
    <n v="-0.50977026670187486"/>
  </r>
  <r>
    <d v="2025-03-11T00:00:00"/>
    <x v="796"/>
    <x v="7"/>
    <x v="2"/>
    <x v="0"/>
    <x v="2"/>
    <s v="Tablet"/>
    <n v="4872"/>
    <n v="176"/>
    <n v="3"/>
    <n v="1203.7"/>
    <n v="448.18"/>
    <n v="3.6124794745484398E-2"/>
    <n v="1.7045454545454544E-2"/>
    <n v="401.23333333333335"/>
    <n v="-755.52"/>
    <n v="-0.6276647005067707"/>
  </r>
  <r>
    <d v="2025-03-11T00:00:00"/>
    <x v="797"/>
    <x v="14"/>
    <x v="1"/>
    <x v="0"/>
    <x v="1"/>
    <s v="Mobile"/>
    <n v="15685"/>
    <n v="504"/>
    <n v="11"/>
    <n v="722.73"/>
    <n v="1001.86"/>
    <n v="3.2132610774625439E-2"/>
    <n v="2.1825396825396824E-2"/>
    <n v="65.702727272727273"/>
    <n v="279.13"/>
    <n v="0.38621615264344911"/>
  </r>
  <r>
    <d v="2025-03-11T00:00:00"/>
    <x v="798"/>
    <x v="11"/>
    <x v="1"/>
    <x v="0"/>
    <x v="0"/>
    <s v="Mobile"/>
    <n v="8691"/>
    <n v="312"/>
    <n v="7"/>
    <n v="499.74"/>
    <n v="386.45"/>
    <n v="3.589920607525026E-2"/>
    <n v="2.2435897435897436E-2"/>
    <n v="71.391428571428577"/>
    <n v="-113.29000000000002"/>
    <n v="-0.22669788289910758"/>
  </r>
  <r>
    <d v="2025-03-11T00:00:00"/>
    <x v="799"/>
    <x v="19"/>
    <x v="4"/>
    <x v="2"/>
    <x v="2"/>
    <s v="Mobile"/>
    <n v="1280"/>
    <n v="162"/>
    <n v="24"/>
    <n v="51.28"/>
    <n v="2574.2399999999998"/>
    <n v="0.12656249999999999"/>
    <n v="0.14814814814814814"/>
    <n v="2.1366666666666667"/>
    <n v="2522.9599999999996"/>
    <n v="49.199687987519489"/>
  </r>
  <r>
    <d v="2025-03-11T00:00:00"/>
    <x v="800"/>
    <x v="16"/>
    <x v="2"/>
    <x v="0"/>
    <x v="3"/>
    <s v="Mobile"/>
    <n v="2294"/>
    <n v="128"/>
    <n v="2"/>
    <n v="728.83"/>
    <n v="224.63"/>
    <n v="5.5797733217088058E-2"/>
    <n v="1.5625E-2"/>
    <n v="364.41500000000002"/>
    <n v="-504.20000000000005"/>
    <n v="-0.69179369674684088"/>
  </r>
  <r>
    <d v="2025-03-11T00:00:00"/>
    <x v="801"/>
    <x v="17"/>
    <x v="0"/>
    <x v="2"/>
    <x v="4"/>
    <s v="Mobile"/>
    <n v="6967"/>
    <n v="408"/>
    <n v="27"/>
    <n v="915.49"/>
    <n v="2520.98"/>
    <n v="5.8561791301851587E-2"/>
    <n v="6.6176470588235295E-2"/>
    <n v="33.907037037037036"/>
    <n v="1605.49"/>
    <n v="1.7536947427060918"/>
  </r>
  <r>
    <d v="2025-03-12T00:00:00"/>
    <x v="802"/>
    <x v="11"/>
    <x v="1"/>
    <x v="0"/>
    <x v="3"/>
    <s v="Mobile"/>
    <n v="12621"/>
    <n v="475"/>
    <n v="5"/>
    <n v="713.4"/>
    <n v="308.14"/>
    <n v="3.7635686554155771E-2"/>
    <n v="1.0526315789473684E-2"/>
    <n v="142.68"/>
    <n v="-405.26"/>
    <n v="-0.56806840482197929"/>
  </r>
  <r>
    <d v="2025-03-12T00:00:00"/>
    <x v="803"/>
    <x v="2"/>
    <x v="1"/>
    <x v="2"/>
    <x v="3"/>
    <s v="Mobile"/>
    <n v="18853"/>
    <n v="806"/>
    <n v="31"/>
    <n v="1554.15"/>
    <n v="2676.6"/>
    <n v="4.2751816686999414E-2"/>
    <n v="3.8461538461538464E-2"/>
    <n v="50.133870967741942"/>
    <n v="1122.4499999999998"/>
    <n v="0.7222275842100182"/>
  </r>
  <r>
    <d v="2025-03-12T00:00:00"/>
    <x v="804"/>
    <x v="3"/>
    <x v="2"/>
    <x v="1"/>
    <x v="4"/>
    <s v="Mobile"/>
    <n v="6185"/>
    <n v="139"/>
    <n v="1"/>
    <n v="526.35"/>
    <n v="33.36"/>
    <n v="2.2473726758286176E-2"/>
    <n v="7.1942446043165471E-3"/>
    <n v="526.35"/>
    <n v="-492.99"/>
    <n v="-0.93662011969222003"/>
  </r>
  <r>
    <d v="2025-03-12T00:00:00"/>
    <x v="805"/>
    <x v="2"/>
    <x v="1"/>
    <x v="0"/>
    <x v="0"/>
    <s v="Mobile"/>
    <n v="15332"/>
    <n v="576"/>
    <n v="9"/>
    <n v="869.12"/>
    <n v="592.66999999999996"/>
    <n v="3.7568484216018785E-2"/>
    <n v="1.5625E-2"/>
    <n v="96.568888888888893"/>
    <n v="-276.45000000000005"/>
    <n v="-0.31808035714285721"/>
  </r>
  <r>
    <d v="2025-03-12T00:00:00"/>
    <x v="806"/>
    <x v="6"/>
    <x v="3"/>
    <x v="0"/>
    <x v="2"/>
    <s v="Desktop"/>
    <n v="30416"/>
    <n v="541"/>
    <n v="11"/>
    <n v="455.9"/>
    <n v="605.79"/>
    <n v="1.7786691215149922E-2"/>
    <n v="2.0332717190388171E-2"/>
    <n v="41.445454545454545"/>
    <n v="149.88999999999999"/>
    <n v="0.32877824084228996"/>
  </r>
  <r>
    <d v="2025-03-12T00:00:00"/>
    <x v="807"/>
    <x v="16"/>
    <x v="2"/>
    <x v="0"/>
    <x v="3"/>
    <s v="Mobile"/>
    <n v="5162"/>
    <n v="193"/>
    <n v="2"/>
    <n v="1195.6500000000001"/>
    <n v="331.99"/>
    <n v="3.7388609066253388E-2"/>
    <n v="1.0362694300518135E-2"/>
    <n v="597.82500000000005"/>
    <n v="-863.66000000000008"/>
    <n v="-0.72233513151842099"/>
  </r>
  <r>
    <d v="2025-03-12T00:00:00"/>
    <x v="808"/>
    <x v="14"/>
    <x v="1"/>
    <x v="1"/>
    <x v="0"/>
    <s v="Desktop"/>
    <n v="11443"/>
    <n v="306"/>
    <n v="6"/>
    <n v="533.62"/>
    <n v="480.47"/>
    <n v="2.674123918552827E-2"/>
    <n v="1.9607843137254902E-2"/>
    <n v="88.936666666666667"/>
    <n v="-53.149999999999977"/>
    <n v="-9.9602713541471419E-2"/>
  </r>
  <r>
    <d v="2025-03-12T00:00:00"/>
    <x v="809"/>
    <x v="15"/>
    <x v="1"/>
    <x v="1"/>
    <x v="3"/>
    <s v="Mobile"/>
    <n v="13137"/>
    <n v="270"/>
    <n v="6"/>
    <n v="392.52"/>
    <n v="407.78"/>
    <n v="2.0552637588490522E-2"/>
    <n v="2.2222222222222223E-2"/>
    <n v="65.42"/>
    <n v="15.259999999999991"/>
    <n v="3.8876999898094344E-2"/>
  </r>
  <r>
    <d v="2025-03-12T00:00:00"/>
    <x v="810"/>
    <x v="15"/>
    <x v="1"/>
    <x v="0"/>
    <x v="4"/>
    <s v="Mobile"/>
    <n v="10933"/>
    <n v="281"/>
    <n v="5"/>
    <n v="288.08999999999997"/>
    <n v="317.92"/>
    <n v="2.5702003109850911E-2"/>
    <n v="1.7793594306049824E-2"/>
    <n v="57.617999999999995"/>
    <n v="29.830000000000041"/>
    <n v="0.10354403137908308"/>
  </r>
  <r>
    <d v="2025-03-12T00:00:00"/>
    <x v="811"/>
    <x v="8"/>
    <x v="3"/>
    <x v="0"/>
    <x v="1"/>
    <s v="Mobile"/>
    <n v="31621"/>
    <n v="823"/>
    <n v="7"/>
    <n v="768.49"/>
    <n v="312.07"/>
    <n v="2.602700736852092E-2"/>
    <n v="8.5054678007290396E-3"/>
    <n v="109.78428571428572"/>
    <n v="-456.42"/>
    <n v="-0.59391794297908884"/>
  </r>
  <r>
    <d v="2025-03-13T00:00:00"/>
    <x v="812"/>
    <x v="8"/>
    <x v="3"/>
    <x v="1"/>
    <x v="2"/>
    <s v="Desktop"/>
    <n v="20768"/>
    <n v="107"/>
    <n v="1"/>
    <n v="138.5"/>
    <n v="61.11"/>
    <n v="5.1521571648690291E-3"/>
    <n v="9.3457943925233638E-3"/>
    <n v="138.5"/>
    <n v="-77.39"/>
    <n v="-0.55877256317689528"/>
  </r>
  <r>
    <d v="2025-03-13T00:00:00"/>
    <x v="813"/>
    <x v="7"/>
    <x v="2"/>
    <x v="0"/>
    <x v="1"/>
    <s v="Mobile"/>
    <n v="6351"/>
    <n v="315"/>
    <n v="4"/>
    <n v="2209.5"/>
    <n v="766.57"/>
    <n v="4.9598488427019367E-2"/>
    <n v="1.2698412698412698E-2"/>
    <n v="552.375"/>
    <n v="-1442.9299999999998"/>
    <n v="-0.65305725277212034"/>
  </r>
  <r>
    <d v="2025-03-13T00:00:00"/>
    <x v="814"/>
    <x v="4"/>
    <x v="3"/>
    <x v="0"/>
    <x v="0"/>
    <s v="Mobile"/>
    <n v="19734"/>
    <n v="281"/>
    <n v="3"/>
    <n v="345.83"/>
    <n v="219.6"/>
    <n v="1.4239383804601196E-2"/>
    <n v="1.0676156583629894E-2"/>
    <n v="115.27666666666666"/>
    <n v="-126.22999999999999"/>
    <n v="-0.36500592776797847"/>
  </r>
  <r>
    <d v="2025-03-13T00:00:00"/>
    <x v="815"/>
    <x v="9"/>
    <x v="4"/>
    <x v="0"/>
    <x v="2"/>
    <s v="Mobile"/>
    <n v="2216"/>
    <n v="201"/>
    <n v="18"/>
    <n v="89.83"/>
    <n v="1734.76"/>
    <n v="9.0703971119133572E-2"/>
    <n v="8.9552238805970144E-2"/>
    <n v="4.9905555555555559"/>
    <n v="1644.93"/>
    <n v="18.311588556161638"/>
  </r>
  <r>
    <d v="2025-03-13T00:00:00"/>
    <x v="816"/>
    <x v="8"/>
    <x v="3"/>
    <x v="2"/>
    <x v="0"/>
    <s v="Tablet"/>
    <n v="19015"/>
    <n v="288"/>
    <n v="6"/>
    <n v="394.96"/>
    <n v="277.98"/>
    <n v="1.5145937417828031E-2"/>
    <n v="2.0833333333333332E-2"/>
    <n v="65.826666666666668"/>
    <n v="-116.97999999999996"/>
    <n v="-0.29618189183714799"/>
  </r>
  <r>
    <d v="2025-03-13T00:00:00"/>
    <x v="817"/>
    <x v="11"/>
    <x v="1"/>
    <x v="0"/>
    <x v="4"/>
    <s v="Mobile"/>
    <n v="15033"/>
    <n v="522"/>
    <n v="11"/>
    <n v="644.80999999999995"/>
    <n v="907.01"/>
    <n v="3.4723608062263024E-2"/>
    <n v="2.1072796934865901E-2"/>
    <n v="58.619090909090907"/>
    <n v="262.20000000000005"/>
    <n v="0.40663141080318244"/>
  </r>
  <r>
    <d v="2025-03-13T00:00:00"/>
    <x v="818"/>
    <x v="17"/>
    <x v="0"/>
    <x v="0"/>
    <x v="3"/>
    <s v="Mobile"/>
    <n v="7486"/>
    <n v="509"/>
    <n v="19"/>
    <n v="1306.72"/>
    <n v="1704.91"/>
    <n v="6.7993588030991189E-2"/>
    <n v="3.732809430255403E-2"/>
    <n v="68.77473684210527"/>
    <n v="398.19000000000005"/>
    <n v="0.30472480715072858"/>
  </r>
  <r>
    <d v="2025-03-13T00:00:00"/>
    <x v="819"/>
    <x v="0"/>
    <x v="0"/>
    <x v="0"/>
    <x v="1"/>
    <s v="Mobile"/>
    <n v="7262"/>
    <n v="312"/>
    <n v="14"/>
    <n v="492.97"/>
    <n v="993.71"/>
    <n v="4.2963370972183973E-2"/>
    <n v="4.4871794871794872E-2"/>
    <n v="35.212142857142858"/>
    <n v="500.74"/>
    <n v="1.0157616082114529"/>
  </r>
  <r>
    <d v="2025-03-14T00:00:00"/>
    <x v="820"/>
    <x v="18"/>
    <x v="4"/>
    <x v="1"/>
    <x v="4"/>
    <s v="Desktop"/>
    <n v="4032"/>
    <n v="464"/>
    <n v="55"/>
    <n v="114.34"/>
    <n v="6404.47"/>
    <n v="0.11507936507936507"/>
    <n v="0.11853448275862069"/>
    <n v="2.0789090909090908"/>
    <n v="6290.13"/>
    <n v="55.012506559384292"/>
  </r>
  <r>
    <d v="2025-03-14T00:00:00"/>
    <x v="821"/>
    <x v="18"/>
    <x v="4"/>
    <x v="0"/>
    <x v="2"/>
    <s v="Desktop"/>
    <n v="1233"/>
    <n v="159"/>
    <n v="20"/>
    <n v="60.64"/>
    <n v="3061.61"/>
    <n v="0.12895377128953772"/>
    <n v="0.12578616352201258"/>
    <n v="3.032"/>
    <n v="3000.9700000000003"/>
    <n v="49.488291556728235"/>
  </r>
  <r>
    <d v="2025-03-14T00:00:00"/>
    <x v="822"/>
    <x v="18"/>
    <x v="4"/>
    <x v="1"/>
    <x v="4"/>
    <s v="Desktop"/>
    <n v="1793"/>
    <n v="211"/>
    <n v="14"/>
    <n v="41.83"/>
    <n v="1709.52"/>
    <n v="0.11767986614612382"/>
    <n v="6.6350710900473939E-2"/>
    <n v="2.9878571428571425"/>
    <n v="1667.69"/>
    <n v="39.868276356681811"/>
  </r>
  <r>
    <d v="2025-03-14T00:00:00"/>
    <x v="823"/>
    <x v="17"/>
    <x v="0"/>
    <x v="2"/>
    <x v="2"/>
    <s v="Mobile"/>
    <n v="11204"/>
    <n v="603"/>
    <n v="35"/>
    <n v="1740.21"/>
    <n v="3929.32"/>
    <n v="5.3820064262763298E-2"/>
    <n v="5.8043117744610281E-2"/>
    <n v="49.720285714285716"/>
    <n v="2189.11"/>
    <n v="1.2579573729607347"/>
  </r>
  <r>
    <d v="2025-03-14T00:00:00"/>
    <x v="824"/>
    <x v="18"/>
    <x v="4"/>
    <x v="1"/>
    <x v="4"/>
    <s v="Mobile"/>
    <n v="3623"/>
    <n v="422"/>
    <n v="35"/>
    <n v="191.87"/>
    <n v="3190.17"/>
    <n v="0.11647805685895667"/>
    <n v="8.2938388625592413E-2"/>
    <n v="5.4820000000000002"/>
    <n v="2998.3"/>
    <n v="15.626726429353209"/>
  </r>
  <r>
    <d v="2025-03-14T00:00:00"/>
    <x v="825"/>
    <x v="5"/>
    <x v="4"/>
    <x v="0"/>
    <x v="1"/>
    <s v="Mobile"/>
    <n v="3043"/>
    <n v="286"/>
    <n v="26"/>
    <n v="87.11"/>
    <n v="2444.4899999999998"/>
    <n v="9.3986197831087748E-2"/>
    <n v="9.0909090909090912E-2"/>
    <n v="3.3503846153846153"/>
    <n v="2357.3799999999997"/>
    <n v="27.062105383997242"/>
  </r>
  <r>
    <d v="2025-03-14T00:00:00"/>
    <x v="826"/>
    <x v="14"/>
    <x v="1"/>
    <x v="1"/>
    <x v="4"/>
    <s v="Desktop"/>
    <n v="8260"/>
    <n v="256"/>
    <n v="6"/>
    <n v="339.82"/>
    <n v="320.74"/>
    <n v="3.099273607748184E-2"/>
    <n v="2.34375E-2"/>
    <n v="56.636666666666663"/>
    <n v="-19.079999999999984"/>
    <n v="-5.6147372138190758E-2"/>
  </r>
  <r>
    <d v="2025-03-14T00:00:00"/>
    <x v="827"/>
    <x v="10"/>
    <x v="3"/>
    <x v="1"/>
    <x v="2"/>
    <s v="Desktop"/>
    <n v="20814"/>
    <n v="287"/>
    <n v="3"/>
    <n v="322.04000000000002"/>
    <n v="212.22"/>
    <n v="1.3788796002690496E-2"/>
    <n v="1.0452961672473868E-2"/>
    <n v="107.34666666666668"/>
    <n v="-109.82000000000002"/>
    <n v="-0.34101353869084589"/>
  </r>
  <r>
    <d v="2025-03-14T00:00:00"/>
    <x v="828"/>
    <x v="11"/>
    <x v="1"/>
    <x v="1"/>
    <x v="2"/>
    <s v="Desktop"/>
    <n v="9769"/>
    <n v="183"/>
    <n v="2"/>
    <n v="305.77999999999997"/>
    <n v="106.73"/>
    <n v="1.8732725969904801E-2"/>
    <n v="1.092896174863388E-2"/>
    <n v="152.88999999999999"/>
    <n v="-199.04999999999995"/>
    <n v="-0.65095820524560133"/>
  </r>
  <r>
    <d v="2025-03-14T00:00:00"/>
    <x v="829"/>
    <x v="0"/>
    <x v="0"/>
    <x v="0"/>
    <x v="4"/>
    <s v="Mobile"/>
    <n v="13682"/>
    <n v="718"/>
    <n v="31"/>
    <n v="1462.76"/>
    <n v="2806.36"/>
    <n v="5.2477707937436044E-2"/>
    <n v="4.3175487465181059E-2"/>
    <n v="47.185806451612905"/>
    <n v="1343.6000000000001"/>
    <n v="0.91853755913478641"/>
  </r>
  <r>
    <d v="2025-03-15T00:00:00"/>
    <x v="830"/>
    <x v="15"/>
    <x v="1"/>
    <x v="0"/>
    <x v="4"/>
    <s v="Mobile"/>
    <n v="8699"/>
    <n v="253"/>
    <n v="6"/>
    <n v="415.22"/>
    <n v="499.29"/>
    <n v="2.908380273594666E-2"/>
    <n v="2.3715415019762844E-2"/>
    <n v="69.203333333333333"/>
    <n v="84.07"/>
    <n v="0.20247097923992097"/>
  </r>
  <r>
    <d v="2025-03-15T00:00:00"/>
    <x v="831"/>
    <x v="19"/>
    <x v="4"/>
    <x v="0"/>
    <x v="1"/>
    <s v="Desktop"/>
    <n v="2649"/>
    <n v="324"/>
    <n v="39"/>
    <n v="123.56"/>
    <n v="5252.11"/>
    <n v="0.12231030577576443"/>
    <n v="0.12037037037037036"/>
    <n v="3.1682051282051282"/>
    <n v="5128.5499999999993"/>
    <n v="41.506555519585618"/>
  </r>
  <r>
    <d v="2025-03-15T00:00:00"/>
    <x v="832"/>
    <x v="6"/>
    <x v="3"/>
    <x v="0"/>
    <x v="1"/>
    <s v="Desktop"/>
    <n v="26750"/>
    <n v="618"/>
    <n v="12"/>
    <n v="849.93"/>
    <n v="907.86"/>
    <n v="2.3102803738317756E-2"/>
    <n v="1.9417475728155338E-2"/>
    <n v="70.827500000000001"/>
    <n v="57.930000000000064"/>
    <n v="6.8158554233878163E-2"/>
  </r>
  <r>
    <d v="2025-03-15T00:00:00"/>
    <x v="833"/>
    <x v="9"/>
    <x v="4"/>
    <x v="0"/>
    <x v="1"/>
    <s v="Mobile"/>
    <n v="3967"/>
    <n v="507"/>
    <n v="69"/>
    <n v="113.38"/>
    <n v="7173.81"/>
    <n v="0.12780438618603479"/>
    <n v="0.13609467455621302"/>
    <n v="1.6431884057971013"/>
    <n v="7060.43"/>
    <n v="62.272270241665204"/>
  </r>
  <r>
    <d v="2025-03-15T00:00:00"/>
    <x v="834"/>
    <x v="2"/>
    <x v="1"/>
    <x v="1"/>
    <x v="3"/>
    <s v="Tablet"/>
    <n v="18551"/>
    <n v="493"/>
    <n v="10"/>
    <n v="883.53"/>
    <n v="537.91"/>
    <n v="2.6575386771602608E-2"/>
    <n v="2.0283975659229209E-2"/>
    <n v="88.352999999999994"/>
    <n v="-345.62"/>
    <n v="-0.39118083143752902"/>
  </r>
  <r>
    <d v="2025-03-15T00:00:00"/>
    <x v="835"/>
    <x v="13"/>
    <x v="2"/>
    <x v="0"/>
    <x v="4"/>
    <s v="Desktop"/>
    <n v="6551"/>
    <n v="164"/>
    <n v="4"/>
    <n v="709.03"/>
    <n v="432.21"/>
    <n v="2.5034345901389102E-2"/>
    <n v="2.4390243902439025E-2"/>
    <n v="177.25749999999999"/>
    <n v="-276.82"/>
    <n v="-0.39042071562557296"/>
  </r>
  <r>
    <d v="2025-03-15T00:00:00"/>
    <x v="836"/>
    <x v="16"/>
    <x v="2"/>
    <x v="0"/>
    <x v="4"/>
    <s v="Tablet"/>
    <n v="5813"/>
    <n v="148"/>
    <n v="2"/>
    <n v="625.13"/>
    <n v="387.23"/>
    <n v="2.546017546877688E-2"/>
    <n v="1.3513513513513514E-2"/>
    <n v="312.565"/>
    <n v="-237.89999999999998"/>
    <n v="-0.38056084334458429"/>
  </r>
  <r>
    <d v="2025-03-16T00:00:00"/>
    <x v="837"/>
    <x v="7"/>
    <x v="2"/>
    <x v="0"/>
    <x v="2"/>
    <s v="Desktop"/>
    <n v="6645"/>
    <n v="168"/>
    <n v="4"/>
    <n v="1003.1"/>
    <n v="808.34"/>
    <n v="2.5282167042889391E-2"/>
    <n v="2.3809523809523808E-2"/>
    <n v="250.77500000000001"/>
    <n v="-194.76"/>
    <n v="-0.19415810985943574"/>
  </r>
  <r>
    <d v="2025-03-16T00:00:00"/>
    <x v="838"/>
    <x v="14"/>
    <x v="1"/>
    <x v="2"/>
    <x v="2"/>
    <s v="Desktop"/>
    <n v="8182"/>
    <n v="167"/>
    <n v="9"/>
    <n v="252.96"/>
    <n v="548.5"/>
    <n v="2.0410657540943535E-2"/>
    <n v="5.3892215568862277E-2"/>
    <n v="28.106666666666669"/>
    <n v="295.53999999999996"/>
    <n v="1.1683270082226438"/>
  </r>
  <r>
    <d v="2025-03-16T00:00:00"/>
    <x v="839"/>
    <x v="2"/>
    <x v="1"/>
    <x v="2"/>
    <x v="3"/>
    <s v="Mobile"/>
    <n v="11816"/>
    <n v="438"/>
    <n v="19"/>
    <n v="548.54999999999995"/>
    <n v="1233.6500000000001"/>
    <n v="3.7068381855111715E-2"/>
    <n v="4.3378995433789952E-2"/>
    <n v="28.871052631578944"/>
    <n v="685.10000000000014"/>
    <n v="1.2489289946221862"/>
  </r>
  <r>
    <d v="2025-03-16T00:00:00"/>
    <x v="840"/>
    <x v="18"/>
    <x v="4"/>
    <x v="1"/>
    <x v="4"/>
    <s v="Mobile"/>
    <n v="4399"/>
    <n v="421"/>
    <n v="42"/>
    <n v="99.81"/>
    <n v="5551.44"/>
    <n v="9.5703568992952945E-2"/>
    <n v="9.9762470308788598E-2"/>
    <n v="2.3764285714285713"/>
    <n v="5451.6299999999992"/>
    <n v="54.620078148482108"/>
  </r>
  <r>
    <d v="2025-03-16T00:00:00"/>
    <x v="841"/>
    <x v="12"/>
    <x v="0"/>
    <x v="2"/>
    <x v="4"/>
    <s v="Mobile"/>
    <n v="10719"/>
    <n v="413"/>
    <n v="15"/>
    <n v="893.77"/>
    <n v="1263.92"/>
    <n v="3.8529713592685887E-2"/>
    <n v="3.6319612590799029E-2"/>
    <n v="59.584666666666664"/>
    <n v="370.15000000000009"/>
    <n v="0.41414457858285697"/>
  </r>
  <r>
    <d v="2025-03-16T00:00:00"/>
    <x v="842"/>
    <x v="11"/>
    <x v="1"/>
    <x v="2"/>
    <x v="3"/>
    <s v="Mobile"/>
    <n v="17702"/>
    <n v="814"/>
    <n v="36"/>
    <n v="1438.01"/>
    <n v="3288.36"/>
    <n v="4.5983504688735737E-2"/>
    <n v="4.4226044226044224E-2"/>
    <n v="39.944722222222225"/>
    <n v="1850.3500000000001"/>
    <n v="1.2867434857893896"/>
  </r>
  <r>
    <d v="2025-03-17T00:00:00"/>
    <x v="843"/>
    <x v="3"/>
    <x v="2"/>
    <x v="2"/>
    <x v="0"/>
    <s v="Mobile"/>
    <n v="4182"/>
    <n v="190"/>
    <n v="2"/>
    <n v="910.15"/>
    <n v="278.24"/>
    <n v="4.5432807269249163E-2"/>
    <n v="1.0526315789473684E-2"/>
    <n v="455.07499999999999"/>
    <n v="-631.91"/>
    <n v="-0.69429214964566277"/>
  </r>
  <r>
    <d v="2025-03-17T00:00:00"/>
    <x v="844"/>
    <x v="8"/>
    <x v="3"/>
    <x v="2"/>
    <x v="0"/>
    <s v="Desktop"/>
    <n v="15814"/>
    <n v="217"/>
    <n v="4"/>
    <n v="307.20999999999998"/>
    <n v="213.26"/>
    <n v="1.3722018464651575E-2"/>
    <n v="1.8433179723502304E-2"/>
    <n v="76.802499999999995"/>
    <n v="-93.949999999999989"/>
    <n v="-0.30581686794049673"/>
  </r>
  <r>
    <d v="2025-03-17T00:00:00"/>
    <x v="845"/>
    <x v="15"/>
    <x v="1"/>
    <x v="1"/>
    <x v="2"/>
    <s v="Desktop"/>
    <n v="12723"/>
    <n v="258"/>
    <n v="4"/>
    <n v="351.31"/>
    <n v="206.4"/>
    <n v="2.0278236265031831E-2"/>
    <n v="1.5503875968992248E-2"/>
    <n v="87.827500000000001"/>
    <n v="-144.91"/>
    <n v="-0.41248470012239902"/>
  </r>
  <r>
    <d v="2025-03-17T00:00:00"/>
    <x v="846"/>
    <x v="16"/>
    <x v="2"/>
    <x v="2"/>
    <x v="4"/>
    <s v="Mobile"/>
    <n v="6712"/>
    <n v="190"/>
    <n v="6"/>
    <n v="1249.8599999999999"/>
    <n v="1028.3800000000001"/>
    <n v="2.8307508939213348E-2"/>
    <n v="3.1578947368421054E-2"/>
    <n v="208.30999999999997"/>
    <n v="-221.47999999999979"/>
    <n v="-0.17720384683084489"/>
  </r>
  <r>
    <d v="2025-03-17T00:00:00"/>
    <x v="847"/>
    <x v="10"/>
    <x v="3"/>
    <x v="1"/>
    <x v="1"/>
    <s v="Mobile"/>
    <n v="28185"/>
    <n v="692"/>
    <n v="7"/>
    <n v="687.45"/>
    <n v="461.25"/>
    <n v="2.4552066702146533E-2"/>
    <n v="1.0115606936416185E-2"/>
    <n v="98.20714285714287"/>
    <n v="-226.20000000000005"/>
    <n v="-0.32904211215361123"/>
  </r>
  <r>
    <d v="2025-03-17T00:00:00"/>
    <x v="848"/>
    <x v="7"/>
    <x v="2"/>
    <x v="1"/>
    <x v="1"/>
    <s v="Mobile"/>
    <n v="6452"/>
    <n v="263"/>
    <n v="2"/>
    <n v="1878.45"/>
    <n v="280.67"/>
    <n v="4.0762554246745193E-2"/>
    <n v="7.6045627376425855E-3"/>
    <n v="939.22500000000002"/>
    <n v="-1597.78"/>
    <n v="-0.85058425829806483"/>
  </r>
  <r>
    <d v="2025-03-17T00:00:00"/>
    <x v="849"/>
    <x v="0"/>
    <x v="0"/>
    <x v="2"/>
    <x v="0"/>
    <s v="Desktop"/>
    <n v="8875"/>
    <n v="382"/>
    <n v="20"/>
    <n v="548.36"/>
    <n v="2364.1"/>
    <n v="4.3042253521126762E-2"/>
    <n v="5.2356020942408377E-2"/>
    <n v="27.417999999999999"/>
    <n v="1815.7399999999998"/>
    <n v="3.3112189072871829"/>
  </r>
  <r>
    <d v="2025-03-17T00:00:00"/>
    <x v="850"/>
    <x v="10"/>
    <x v="3"/>
    <x v="2"/>
    <x v="0"/>
    <s v="Desktop"/>
    <n v="23960"/>
    <n v="287"/>
    <n v="8"/>
    <n v="280.17"/>
    <n v="444.12"/>
    <n v="1.197829716193656E-2"/>
    <n v="2.7874564459930314E-2"/>
    <n v="35.021250000000002"/>
    <n v="163.95"/>
    <n v="0.58518042616982535"/>
  </r>
  <r>
    <d v="2025-03-17T00:00:00"/>
    <x v="851"/>
    <x v="6"/>
    <x v="3"/>
    <x v="0"/>
    <x v="0"/>
    <s v="Desktop"/>
    <n v="23014"/>
    <n v="705"/>
    <n v="10"/>
    <n v="927.51"/>
    <n v="700.75"/>
    <n v="3.0633527418093335E-2"/>
    <n v="1.4184397163120567E-2"/>
    <n v="92.751000000000005"/>
    <n v="-226.76"/>
    <n v="-0.24448253927181376"/>
  </r>
  <r>
    <d v="2025-03-18T00:00:00"/>
    <x v="852"/>
    <x v="4"/>
    <x v="3"/>
    <x v="1"/>
    <x v="0"/>
    <s v="Mobile"/>
    <n v="34458"/>
    <n v="1025"/>
    <n v="4"/>
    <n v="1098.23"/>
    <n v="242.52"/>
    <n v="2.9746357884961404E-2"/>
    <n v="3.9024390243902439E-3"/>
    <n v="274.5575"/>
    <n v="-855.71"/>
    <n v="-0.77917194030394366"/>
  </r>
  <r>
    <d v="2025-03-18T00:00:00"/>
    <x v="853"/>
    <x v="7"/>
    <x v="2"/>
    <x v="0"/>
    <x v="4"/>
    <s v="Mobile"/>
    <n v="5941"/>
    <n v="156"/>
    <n v="2"/>
    <n v="862.16"/>
    <n v="238.45"/>
    <n v="2.6258205689277898E-2"/>
    <n v="1.282051282051282E-2"/>
    <n v="431.08"/>
    <n v="-623.71"/>
    <n v="-0.72342720608703726"/>
  </r>
  <r>
    <d v="2025-03-18T00:00:00"/>
    <x v="854"/>
    <x v="0"/>
    <x v="0"/>
    <x v="0"/>
    <x v="1"/>
    <s v="Tablet"/>
    <n v="5688"/>
    <n v="318"/>
    <n v="16"/>
    <n v="899.15"/>
    <n v="1455.26"/>
    <n v="5.5907172995780588E-2"/>
    <n v="5.0314465408805034E-2"/>
    <n v="56.196874999999999"/>
    <n v="556.11"/>
    <n v="0.61848412389478957"/>
  </r>
  <r>
    <d v="2025-03-18T00:00:00"/>
    <x v="855"/>
    <x v="0"/>
    <x v="0"/>
    <x v="2"/>
    <x v="2"/>
    <s v="Mobile"/>
    <n v="11524"/>
    <n v="677"/>
    <n v="37"/>
    <n v="1417.9"/>
    <n v="3245.23"/>
    <n v="5.8746962860118011E-2"/>
    <n v="5.4652880354505169E-2"/>
    <n v="38.321621621621624"/>
    <n v="1827.33"/>
    <n v="1.2887580224275335"/>
  </r>
  <r>
    <d v="2025-03-18T00:00:00"/>
    <x v="856"/>
    <x v="12"/>
    <x v="0"/>
    <x v="2"/>
    <x v="3"/>
    <s v="Mobile"/>
    <n v="8925"/>
    <n v="618"/>
    <n v="20"/>
    <n v="1651.21"/>
    <n v="1968.96"/>
    <n v="6.9243697478991603E-2"/>
    <n v="3.2362459546925564E-2"/>
    <n v="82.560500000000005"/>
    <n v="317.75"/>
    <n v="0.1924346388406078"/>
  </r>
  <r>
    <d v="2025-03-18T00:00:00"/>
    <x v="857"/>
    <x v="2"/>
    <x v="1"/>
    <x v="1"/>
    <x v="0"/>
    <s v="Mobile"/>
    <n v="18983"/>
    <n v="539"/>
    <n v="9"/>
    <n v="777.71"/>
    <n v="575.74"/>
    <n v="2.8393826054891217E-2"/>
    <n v="1.6697588126159554E-2"/>
    <n v="86.412222222222226"/>
    <n v="-201.97000000000003"/>
    <n v="-0.25969834514150519"/>
  </r>
  <r>
    <d v="2025-03-18T00:00:00"/>
    <x v="858"/>
    <x v="19"/>
    <x v="4"/>
    <x v="0"/>
    <x v="2"/>
    <s v="Mobile"/>
    <n v="3550"/>
    <n v="496"/>
    <n v="63"/>
    <n v="150.68"/>
    <n v="7419.32"/>
    <n v="0.13971830985915493"/>
    <n v="0.12701612903225806"/>
    <n v="2.391746031746032"/>
    <n v="7268.6399999999994"/>
    <n v="48.238916910007958"/>
  </r>
  <r>
    <d v="2025-03-18T00:00:00"/>
    <x v="859"/>
    <x v="10"/>
    <x v="3"/>
    <x v="0"/>
    <x v="0"/>
    <s v="Tablet"/>
    <n v="24281"/>
    <n v="447"/>
    <n v="9"/>
    <n v="619.6"/>
    <n v="403.44"/>
    <n v="1.8409455953214447E-2"/>
    <n v="2.0134228187919462E-2"/>
    <n v="68.844444444444449"/>
    <n v="-216.16000000000003"/>
    <n v="-0.3488702388637831"/>
  </r>
  <r>
    <d v="2025-03-18T00:00:00"/>
    <x v="860"/>
    <x v="19"/>
    <x v="4"/>
    <x v="0"/>
    <x v="4"/>
    <s v="Mobile"/>
    <n v="2394"/>
    <n v="345"/>
    <n v="31"/>
    <n v="121.28"/>
    <n v="4590.24"/>
    <n v="0.14411027568922305"/>
    <n v="8.9855072463768115E-2"/>
    <n v="3.9122580645161289"/>
    <n v="4468.96"/>
    <n v="36.848284960422163"/>
  </r>
  <r>
    <d v="2025-03-18T00:00:00"/>
    <x v="861"/>
    <x v="12"/>
    <x v="0"/>
    <x v="0"/>
    <x v="3"/>
    <s v="Mobile"/>
    <n v="11981"/>
    <n v="737"/>
    <n v="18"/>
    <n v="2045.06"/>
    <n v="1760.41"/>
    <n v="6.151406393456306E-2"/>
    <n v="2.4423337856173677E-2"/>
    <n v="113.61444444444444"/>
    <n v="-284.64999999999986"/>
    <n v="-0.13918907024732766"/>
  </r>
  <r>
    <d v="2025-03-18T00:00:00"/>
    <x v="862"/>
    <x v="19"/>
    <x v="4"/>
    <x v="0"/>
    <x v="3"/>
    <s v="Desktop"/>
    <n v="2280"/>
    <n v="233"/>
    <n v="28"/>
    <n v="76.73"/>
    <n v="2875.86"/>
    <n v="0.10219298245614035"/>
    <n v="0.12017167381974249"/>
    <n v="2.7403571428571429"/>
    <n v="2799.13"/>
    <n v="36.480255441157304"/>
  </r>
  <r>
    <d v="2025-03-18T00:00:00"/>
    <x v="863"/>
    <x v="11"/>
    <x v="1"/>
    <x v="2"/>
    <x v="2"/>
    <s v="Desktop"/>
    <n v="10825"/>
    <n v="305"/>
    <n v="11"/>
    <n v="591.24"/>
    <n v="869.91"/>
    <n v="2.817551963048499E-2"/>
    <n v="3.6065573770491806E-2"/>
    <n v="53.74909090909091"/>
    <n v="278.66999999999996"/>
    <n v="0.47133143900953922"/>
  </r>
  <r>
    <d v="2025-03-18T00:00:00"/>
    <x v="864"/>
    <x v="16"/>
    <x v="2"/>
    <x v="2"/>
    <x v="4"/>
    <s v="Mobile"/>
    <n v="3766"/>
    <n v="185"/>
    <n v="7"/>
    <n v="722.54"/>
    <n v="1172.96"/>
    <n v="4.9123738714816782E-2"/>
    <n v="3.783783783783784E-2"/>
    <n v="103.22"/>
    <n v="450.42000000000007"/>
    <n v="0.62338417250256051"/>
  </r>
  <r>
    <d v="2025-03-18T00:00:00"/>
    <x v="865"/>
    <x v="17"/>
    <x v="0"/>
    <x v="0"/>
    <x v="1"/>
    <s v="Mobile"/>
    <n v="9167"/>
    <n v="292"/>
    <n v="6"/>
    <n v="615.73"/>
    <n v="612.46"/>
    <n v="3.1853387149558196E-2"/>
    <n v="2.0547945205479451E-2"/>
    <n v="102.62166666666667"/>
    <n v="-3.2699999999999818"/>
    <n v="-5.3107693307131078E-3"/>
  </r>
  <r>
    <d v="2025-03-19T00:00:00"/>
    <x v="866"/>
    <x v="13"/>
    <x v="2"/>
    <x v="0"/>
    <x v="3"/>
    <s v="Mobile"/>
    <n v="6337"/>
    <n v="191"/>
    <n v="3"/>
    <n v="1442.19"/>
    <n v="581.54999999999995"/>
    <n v="3.0140445005523119E-2"/>
    <n v="1.5706806282722512E-2"/>
    <n v="480.73"/>
    <n v="-860.6400000000001"/>
    <n v="-0.59675909554219631"/>
  </r>
  <r>
    <d v="2025-03-19T00:00:00"/>
    <x v="867"/>
    <x v="19"/>
    <x v="4"/>
    <x v="2"/>
    <x v="2"/>
    <s v="Mobile"/>
    <n v="1339"/>
    <n v="185"/>
    <n v="37"/>
    <n v="54.96"/>
    <n v="3819.57"/>
    <n v="0.13816280806572068"/>
    <n v="0.2"/>
    <n v="1.4854054054054053"/>
    <n v="3764.61"/>
    <n v="68.497270742358083"/>
  </r>
  <r>
    <d v="2025-03-19T00:00:00"/>
    <x v="868"/>
    <x v="12"/>
    <x v="0"/>
    <x v="0"/>
    <x v="1"/>
    <s v="Tablet"/>
    <n v="6244"/>
    <n v="226"/>
    <n v="7"/>
    <n v="684.85"/>
    <n v="819.28"/>
    <n v="3.6194746957078798E-2"/>
    <n v="3.0973451327433628E-2"/>
    <n v="97.835714285714289"/>
    <n v="134.42999999999995"/>
    <n v="0.19629115864787902"/>
  </r>
  <r>
    <d v="2025-03-19T00:00:00"/>
    <x v="869"/>
    <x v="9"/>
    <x v="4"/>
    <x v="2"/>
    <x v="2"/>
    <s v="Tablet"/>
    <n v="2917"/>
    <n v="257"/>
    <n v="46"/>
    <n v="125.89"/>
    <n v="6293.89"/>
    <n v="8.8104216660953028E-2"/>
    <n v="0.17898832684824903"/>
    <n v="2.7367391304347826"/>
    <n v="6168"/>
    <n v="48.995154499960286"/>
  </r>
  <r>
    <d v="2025-03-19T00:00:00"/>
    <x v="870"/>
    <x v="12"/>
    <x v="0"/>
    <x v="0"/>
    <x v="4"/>
    <s v="Mobile"/>
    <n v="11833"/>
    <n v="498"/>
    <n v="19"/>
    <n v="1003.9"/>
    <n v="1951.18"/>
    <n v="4.2085692554719854E-2"/>
    <n v="3.8152610441767071E-2"/>
    <n v="52.836842105263159"/>
    <n v="947.28000000000009"/>
    <n v="0.94359996015539405"/>
  </r>
  <r>
    <d v="2025-03-19T00:00:00"/>
    <x v="871"/>
    <x v="0"/>
    <x v="0"/>
    <x v="2"/>
    <x v="2"/>
    <s v="Mobile"/>
    <n v="6876"/>
    <n v="287"/>
    <n v="18"/>
    <n v="843.25"/>
    <n v="1470.07"/>
    <n v="4.1739383362420009E-2"/>
    <n v="6.2717770034843204E-2"/>
    <n v="46.847222222222221"/>
    <n v="626.81999999999994"/>
    <n v="0.74333827453305656"/>
  </r>
  <r>
    <d v="2025-03-19T00:00:00"/>
    <x v="872"/>
    <x v="10"/>
    <x v="3"/>
    <x v="1"/>
    <x v="4"/>
    <s v="Tablet"/>
    <n v="18782"/>
    <n v="179"/>
    <n v="3"/>
    <n v="236.14"/>
    <n v="145.76"/>
    <n v="9.5304014481950809E-3"/>
    <n v="1.6759776536312849E-2"/>
    <n v="78.713333333333324"/>
    <n v="-90.38"/>
    <n v="-0.38273905310409079"/>
  </r>
  <r>
    <d v="2025-03-19T00:00:00"/>
    <x v="873"/>
    <x v="16"/>
    <x v="2"/>
    <x v="2"/>
    <x v="3"/>
    <s v="Mobile"/>
    <n v="3535"/>
    <n v="155"/>
    <n v="4"/>
    <n v="1096.32"/>
    <n v="740.21"/>
    <n v="4.3847241867043849E-2"/>
    <n v="2.5806451612903226E-2"/>
    <n v="274.08"/>
    <n v="-356.1099999999999"/>
    <n v="-0.32482304436660819"/>
  </r>
  <r>
    <d v="2025-03-19T00:00:00"/>
    <x v="874"/>
    <x v="14"/>
    <x v="1"/>
    <x v="0"/>
    <x v="0"/>
    <s v="Desktop"/>
    <n v="9881"/>
    <n v="376"/>
    <n v="7"/>
    <n v="537.88"/>
    <n v="562.83000000000004"/>
    <n v="3.8052828661066691E-2"/>
    <n v="1.8617021276595744E-2"/>
    <n v="76.84"/>
    <n v="24.950000000000045"/>
    <n v="4.6385810961552851E-2"/>
  </r>
  <r>
    <d v="2025-03-20T00:00:00"/>
    <x v="875"/>
    <x v="11"/>
    <x v="1"/>
    <x v="0"/>
    <x v="0"/>
    <s v="Mobile"/>
    <n v="11633"/>
    <n v="323"/>
    <n v="6"/>
    <n v="418.5"/>
    <n v="330.36"/>
    <n v="2.7765838562709533E-2"/>
    <n v="1.8575851393188854E-2"/>
    <n v="69.75"/>
    <n v="-88.139999999999986"/>
    <n v="-0.21060931899641575"/>
  </r>
  <r>
    <d v="2025-03-20T00:00:00"/>
    <x v="876"/>
    <x v="2"/>
    <x v="1"/>
    <x v="0"/>
    <x v="4"/>
    <s v="Mobile"/>
    <n v="8504"/>
    <n v="214"/>
    <n v="5"/>
    <n v="198.33"/>
    <n v="338.84"/>
    <n v="2.5164628410159925E-2"/>
    <n v="2.336448598130841E-2"/>
    <n v="39.666000000000004"/>
    <n v="140.50999999999996"/>
    <n v="0.70846568849896618"/>
  </r>
  <r>
    <d v="2025-03-20T00:00:00"/>
    <x v="877"/>
    <x v="14"/>
    <x v="1"/>
    <x v="2"/>
    <x v="2"/>
    <s v="Desktop"/>
    <n v="16820"/>
    <n v="548"/>
    <n v="24"/>
    <n v="1021.22"/>
    <n v="2115.0300000000002"/>
    <n v="3.2580261593341257E-2"/>
    <n v="4.3795620437956206E-2"/>
    <n v="42.550833333333337"/>
    <n v="1093.8100000000002"/>
    <n v="1.0710816474412959"/>
  </r>
  <r>
    <d v="2025-03-20T00:00:00"/>
    <x v="878"/>
    <x v="2"/>
    <x v="1"/>
    <x v="0"/>
    <x v="2"/>
    <s v="Mobile"/>
    <n v="12076"/>
    <n v="325"/>
    <n v="8"/>
    <n v="340.61"/>
    <n v="689.36"/>
    <n v="2.691288506127857E-2"/>
    <n v="2.4615384615384615E-2"/>
    <n v="42.576250000000002"/>
    <n v="348.75"/>
    <n v="1.0238983001086286"/>
  </r>
  <r>
    <d v="2025-03-20T00:00:00"/>
    <x v="879"/>
    <x v="2"/>
    <x v="1"/>
    <x v="0"/>
    <x v="1"/>
    <s v="Desktop"/>
    <n v="13689"/>
    <n v="503"/>
    <n v="10"/>
    <n v="790.58"/>
    <n v="951.09"/>
    <n v="3.6744831616626492E-2"/>
    <n v="1.9880715705765408E-2"/>
    <n v="79.058000000000007"/>
    <n v="160.51"/>
    <n v="0.20302815654329731"/>
  </r>
  <r>
    <d v="2025-03-20T00:00:00"/>
    <x v="880"/>
    <x v="6"/>
    <x v="3"/>
    <x v="0"/>
    <x v="3"/>
    <s v="Mobile"/>
    <n v="25378"/>
    <n v="515"/>
    <n v="7"/>
    <n v="484.16"/>
    <n v="372.91"/>
    <n v="2.0293167310268735E-2"/>
    <n v="1.3592233009708738E-2"/>
    <n v="69.165714285714287"/>
    <n v="-111.25"/>
    <n v="-0.22977941176470587"/>
  </r>
  <r>
    <d v="2025-03-20T00:00:00"/>
    <x v="881"/>
    <x v="7"/>
    <x v="2"/>
    <x v="1"/>
    <x v="1"/>
    <s v="Mobile"/>
    <n v="4181"/>
    <n v="123"/>
    <n v="2"/>
    <n v="971.23"/>
    <n v="62.7"/>
    <n v="2.9418799330303756E-2"/>
    <n v="1.6260162601626018E-2"/>
    <n v="485.61500000000001"/>
    <n v="-908.53"/>
    <n v="-0.9354426860784778"/>
  </r>
  <r>
    <d v="2025-03-20T00:00:00"/>
    <x v="882"/>
    <x v="9"/>
    <x v="4"/>
    <x v="2"/>
    <x v="3"/>
    <s v="Mobile"/>
    <n v="2516"/>
    <n v="326"/>
    <n v="44"/>
    <n v="159.62"/>
    <n v="6624.69"/>
    <n v="0.12957074721780604"/>
    <n v="0.13496932515337423"/>
    <n v="3.6277272727272729"/>
    <n v="6465.07"/>
    <n v="40.502881844380397"/>
  </r>
  <r>
    <d v="2025-03-20T00:00:00"/>
    <x v="883"/>
    <x v="9"/>
    <x v="4"/>
    <x v="0"/>
    <x v="3"/>
    <s v="Desktop"/>
    <n v="3492"/>
    <n v="362"/>
    <n v="66"/>
    <n v="191.52"/>
    <n v="7383.14"/>
    <n v="0.10366552119129439"/>
    <n v="0.18232044198895028"/>
    <n v="2.9018181818181819"/>
    <n v="7191.62"/>
    <n v="37.550229741019216"/>
  </r>
  <r>
    <d v="2025-03-20T00:00:00"/>
    <x v="884"/>
    <x v="4"/>
    <x v="3"/>
    <x v="0"/>
    <x v="1"/>
    <s v="Mobile"/>
    <n v="23244"/>
    <n v="855"/>
    <n v="11"/>
    <n v="1045.8800000000001"/>
    <n v="654.33000000000004"/>
    <n v="3.6783686112545171E-2"/>
    <n v="1.2865497076023392E-2"/>
    <n v="95.080000000000013"/>
    <n v="-391.55000000000007"/>
    <n v="-0.37437373312425903"/>
  </r>
  <r>
    <d v="2025-03-21T00:00:00"/>
    <x v="885"/>
    <x v="17"/>
    <x v="0"/>
    <x v="1"/>
    <x v="0"/>
    <s v="Desktop"/>
    <n v="14813"/>
    <n v="507"/>
    <n v="19"/>
    <n v="1426.53"/>
    <n v="1369.14"/>
    <n v="3.4226692769864307E-2"/>
    <n v="3.7475345167652857E-2"/>
    <n v="75.08052631578947"/>
    <n v="-57.389999999999873"/>
    <n v="-4.0230489369308654E-2"/>
  </r>
  <r>
    <d v="2025-03-21T00:00:00"/>
    <x v="886"/>
    <x v="8"/>
    <x v="3"/>
    <x v="0"/>
    <x v="4"/>
    <s v="Mobile"/>
    <n v="34951"/>
    <n v="581"/>
    <n v="9"/>
    <n v="722.4"/>
    <n v="667.31"/>
    <n v="1.6623272581614262E-2"/>
    <n v="1.549053356282272E-2"/>
    <n v="80.266666666666666"/>
    <n v="-55.090000000000032"/>
    <n v="-7.6259689922480667E-2"/>
  </r>
  <r>
    <d v="2025-03-21T00:00:00"/>
    <x v="887"/>
    <x v="10"/>
    <x v="3"/>
    <x v="1"/>
    <x v="2"/>
    <s v="Desktop"/>
    <n v="16407"/>
    <n v="223"/>
    <n v="3"/>
    <n v="296.52999999999997"/>
    <n v="178.22"/>
    <n v="1.3591759614798561E-2"/>
    <n v="1.3452914798206279E-2"/>
    <n v="98.84333333333332"/>
    <n v="-118.30999999999997"/>
    <n v="-0.3989815532998347"/>
  </r>
  <r>
    <d v="2025-03-21T00:00:00"/>
    <x v="888"/>
    <x v="7"/>
    <x v="2"/>
    <x v="0"/>
    <x v="1"/>
    <s v="Desktop"/>
    <n v="2028"/>
    <n v="103"/>
    <n v="2"/>
    <n v="445.85"/>
    <n v="246.47"/>
    <n v="5.0788954635108484E-2"/>
    <n v="1.9417475728155338E-2"/>
    <n v="222.92500000000001"/>
    <n v="-199.38000000000002"/>
    <n v="-0.44719075922395429"/>
  </r>
  <r>
    <d v="2025-03-21T00:00:00"/>
    <x v="889"/>
    <x v="7"/>
    <x v="2"/>
    <x v="0"/>
    <x v="2"/>
    <s v="Mobile"/>
    <n v="6261"/>
    <n v="327"/>
    <n v="7"/>
    <n v="1890.98"/>
    <n v="1146.8"/>
    <n v="5.2228078581696216E-2"/>
    <n v="2.1406727828746176E-2"/>
    <n v="270.14"/>
    <n v="-744.18000000000006"/>
    <n v="-0.39354197294524534"/>
  </r>
  <r>
    <d v="2025-03-21T00:00:00"/>
    <x v="890"/>
    <x v="16"/>
    <x v="2"/>
    <x v="0"/>
    <x v="0"/>
    <s v="Desktop"/>
    <n v="4313"/>
    <n v="110"/>
    <n v="1"/>
    <n v="767.72"/>
    <n v="120.31"/>
    <n v="2.5504289357755623E-2"/>
    <n v="9.0909090909090905E-3"/>
    <n v="767.72"/>
    <n v="-647.41000000000008"/>
    <n v="-0.84328922002813533"/>
  </r>
  <r>
    <d v="2025-03-21T00:00:00"/>
    <x v="891"/>
    <x v="9"/>
    <x v="4"/>
    <x v="2"/>
    <x v="0"/>
    <s v="Mobile"/>
    <n v="3879"/>
    <n v="683"/>
    <n v="134"/>
    <n v="172.02"/>
    <n v="14245.98"/>
    <n v="0.17607630832688836"/>
    <n v="0.19619326500732065"/>
    <n v="1.2837313432835822"/>
    <n v="14073.96"/>
    <n v="81.815835367980455"/>
  </r>
  <r>
    <d v="2025-03-21T00:00:00"/>
    <x v="892"/>
    <x v="15"/>
    <x v="1"/>
    <x v="0"/>
    <x v="1"/>
    <s v="Mobile"/>
    <n v="12061"/>
    <n v="518"/>
    <n v="16"/>
    <n v="810.66"/>
    <n v="1527.64"/>
    <n v="4.2948345908299476E-2"/>
    <n v="3.0888030888030889E-2"/>
    <n v="50.666249999999998"/>
    <n v="716.98000000000013"/>
    <n v="0.88443983914341417"/>
  </r>
  <r>
    <d v="2025-03-21T00:00:00"/>
    <x v="893"/>
    <x v="14"/>
    <x v="1"/>
    <x v="0"/>
    <x v="2"/>
    <s v="Tablet"/>
    <n v="11580"/>
    <n v="317"/>
    <n v="8"/>
    <n v="582.16999999999996"/>
    <n v="605.04999999999995"/>
    <n v="2.7374784110535406E-2"/>
    <n v="2.5236593059936908E-2"/>
    <n v="72.771249999999995"/>
    <n v="22.879999999999995"/>
    <n v="3.9301235034440107E-2"/>
  </r>
  <r>
    <d v="2025-03-21T00:00:00"/>
    <x v="894"/>
    <x v="19"/>
    <x v="4"/>
    <x v="2"/>
    <x v="1"/>
    <s v="Mobile"/>
    <n v="2893"/>
    <n v="335"/>
    <n v="51"/>
    <n v="128.99"/>
    <n v="6016.84"/>
    <n v="0.11579675077773938"/>
    <n v="0.15223880597014924"/>
    <n v="2.5292156862745099"/>
    <n v="5887.85"/>
    <n v="45.645786495077139"/>
  </r>
  <r>
    <d v="2025-03-22T00:00:00"/>
    <x v="895"/>
    <x v="9"/>
    <x v="4"/>
    <x v="0"/>
    <x v="3"/>
    <s v="Desktop"/>
    <n v="2770"/>
    <n v="349"/>
    <n v="65"/>
    <n v="102.82"/>
    <n v="6613.72"/>
    <n v="0.12599277978339349"/>
    <n v="0.18624641833810887"/>
    <n v="1.5818461538461537"/>
    <n v="6510.9000000000005"/>
    <n v="63.323283407897307"/>
  </r>
  <r>
    <d v="2025-03-22T00:00:00"/>
    <x v="896"/>
    <x v="0"/>
    <x v="0"/>
    <x v="2"/>
    <x v="2"/>
    <s v="Mobile"/>
    <n v="13958"/>
    <n v="829"/>
    <n v="54"/>
    <n v="1951.29"/>
    <n v="3673.37"/>
    <n v="5.9392463103596506E-2"/>
    <n v="6.513872135102533E-2"/>
    <n v="36.134999999999998"/>
    <n v="1722.08"/>
    <n v="0.88253411845497076"/>
  </r>
  <r>
    <d v="2025-03-22T00:00:00"/>
    <x v="897"/>
    <x v="14"/>
    <x v="1"/>
    <x v="2"/>
    <x v="2"/>
    <s v="Desktop"/>
    <n v="12557"/>
    <n v="509"/>
    <n v="21"/>
    <n v="819.32"/>
    <n v="2221.09"/>
    <n v="4.0535159671896151E-2"/>
    <n v="4.1257367387033402E-2"/>
    <n v="39.015238095238097"/>
    <n v="1401.77"/>
    <n v="1.7108944002343405"/>
  </r>
  <r>
    <d v="2025-03-22T00:00:00"/>
    <x v="898"/>
    <x v="6"/>
    <x v="3"/>
    <x v="1"/>
    <x v="3"/>
    <s v="Mobile"/>
    <n v="39728"/>
    <n v="590"/>
    <n v="6"/>
    <n v="888.34"/>
    <n v="379.67"/>
    <n v="1.4850986709625454E-2"/>
    <n v="1.0169491525423728E-2"/>
    <n v="148.05666666666667"/>
    <n v="-508.67"/>
    <n v="-0.57260733502938066"/>
  </r>
  <r>
    <d v="2025-03-22T00:00:00"/>
    <x v="899"/>
    <x v="16"/>
    <x v="2"/>
    <x v="0"/>
    <x v="3"/>
    <s v="Mobile"/>
    <n v="2637"/>
    <n v="61"/>
    <n v="0"/>
    <n v="504.25"/>
    <n v="0"/>
    <n v="2.3132347364429276E-2"/>
    <n v="0"/>
    <n v="0"/>
    <n v="-504.25"/>
    <n v="-1"/>
  </r>
  <r>
    <d v="2025-03-22T00:00:00"/>
    <x v="900"/>
    <x v="13"/>
    <x v="2"/>
    <x v="1"/>
    <x v="0"/>
    <s v="Mobile"/>
    <n v="4070"/>
    <n v="147"/>
    <n v="2"/>
    <n v="964.65"/>
    <n v="324"/>
    <n v="3.6117936117936116E-2"/>
    <n v="1.3605442176870748E-2"/>
    <n v="482.32499999999999"/>
    <n v="-640.65"/>
    <n v="-0.66412688539884934"/>
  </r>
  <r>
    <d v="2025-03-22T00:00:00"/>
    <x v="901"/>
    <x v="17"/>
    <x v="0"/>
    <x v="0"/>
    <x v="4"/>
    <s v="Desktop"/>
    <n v="6140"/>
    <n v="324"/>
    <n v="11"/>
    <n v="649.41999999999996"/>
    <n v="981.4"/>
    <n v="5.276872964169381E-2"/>
    <n v="3.3950617283950615E-2"/>
    <n v="59.038181818181812"/>
    <n v="331.98"/>
    <n v="0.51119460441624842"/>
  </r>
  <r>
    <d v="2025-03-22T00:00:00"/>
    <x v="902"/>
    <x v="13"/>
    <x v="2"/>
    <x v="0"/>
    <x v="1"/>
    <s v="Mobile"/>
    <n v="5578"/>
    <n v="196"/>
    <n v="3"/>
    <n v="1242.43"/>
    <n v="340.69"/>
    <n v="3.5138042309071353E-2"/>
    <n v="1.5306122448979591E-2"/>
    <n v="414.14333333333337"/>
    <n v="-901.74"/>
    <n v="-0.72578736830243951"/>
  </r>
  <r>
    <d v="2025-03-22T00:00:00"/>
    <x v="903"/>
    <x v="18"/>
    <x v="4"/>
    <x v="1"/>
    <x v="1"/>
    <s v="Mobile"/>
    <n v="1149"/>
    <n v="106"/>
    <n v="10"/>
    <n v="0"/>
    <n v="990.78"/>
    <n v="9.2254134029590942E-2"/>
    <n v="9.4339622641509441E-2"/>
    <n v="0"/>
    <n v="990.78"/>
    <n v="0"/>
  </r>
  <r>
    <d v="2025-03-22T00:00:00"/>
    <x v="904"/>
    <x v="17"/>
    <x v="0"/>
    <x v="2"/>
    <x v="0"/>
    <s v="Mobile"/>
    <n v="13699"/>
    <n v="1036"/>
    <n v="70"/>
    <n v="2694.59"/>
    <n v="8201.32"/>
    <n v="7.5625958099131321E-2"/>
    <n v="6.7567567567567571E-2"/>
    <n v="38.494142857142862"/>
    <n v="5506.73"/>
    <n v="2.0436244475040728"/>
  </r>
  <r>
    <d v="2025-03-22T00:00:00"/>
    <x v="905"/>
    <x v="16"/>
    <x v="2"/>
    <x v="0"/>
    <x v="3"/>
    <s v="Desktop"/>
    <n v="3014"/>
    <n v="108"/>
    <n v="2"/>
    <n v="684.16"/>
    <n v="273.06"/>
    <n v="3.5832780358327807E-2"/>
    <n v="1.8518518518518517E-2"/>
    <n v="342.08"/>
    <n v="-411.09999999999997"/>
    <n v="-0.60088283442469592"/>
  </r>
  <r>
    <d v="2025-03-23T00:00:00"/>
    <x v="906"/>
    <x v="6"/>
    <x v="3"/>
    <x v="2"/>
    <x v="3"/>
    <s v="Mobile"/>
    <n v="20489"/>
    <n v="539"/>
    <n v="6"/>
    <n v="490.51"/>
    <n v="321.07"/>
    <n v="2.6306798770071745E-2"/>
    <n v="1.1131725417439703E-2"/>
    <n v="81.751666666666665"/>
    <n v="-169.44"/>
    <n v="-0.34543638254062098"/>
  </r>
  <r>
    <d v="2025-03-23T00:00:00"/>
    <x v="907"/>
    <x v="11"/>
    <x v="1"/>
    <x v="0"/>
    <x v="0"/>
    <s v="Mobile"/>
    <n v="13100"/>
    <n v="388"/>
    <n v="7"/>
    <n v="677.38"/>
    <n v="449.54"/>
    <n v="2.9618320610687022E-2"/>
    <n v="1.804123711340206E-2"/>
    <n v="96.768571428571434"/>
    <n v="-227.83999999999997"/>
    <n v="-0.33635477870619146"/>
  </r>
  <r>
    <d v="2025-03-23T00:00:00"/>
    <x v="908"/>
    <x v="19"/>
    <x v="4"/>
    <x v="0"/>
    <x v="3"/>
    <s v="Desktop"/>
    <n v="3574"/>
    <n v="480"/>
    <n v="71"/>
    <n v="105.24"/>
    <n v="9170.26"/>
    <n v="0.13430330162283155"/>
    <n v="0.14791666666666667"/>
    <n v="1.4822535211267605"/>
    <n v="9065.02"/>
    <n v="86.136640060813392"/>
  </r>
  <r>
    <d v="2025-03-23T00:00:00"/>
    <x v="909"/>
    <x v="4"/>
    <x v="3"/>
    <x v="2"/>
    <x v="3"/>
    <s v="Mobile"/>
    <n v="30319"/>
    <n v="907"/>
    <n v="11"/>
    <n v="1200.08"/>
    <n v="825.94"/>
    <n v="2.9915234671328211E-2"/>
    <n v="1.2127894156560088E-2"/>
    <n v="109.09818181818181"/>
    <n v="-374.13999999999987"/>
    <n v="-0.31176254916338902"/>
  </r>
  <r>
    <d v="2025-03-23T00:00:00"/>
    <x v="910"/>
    <x v="8"/>
    <x v="3"/>
    <x v="2"/>
    <x v="1"/>
    <s v="Mobile"/>
    <n v="21363"/>
    <n v="628"/>
    <n v="14"/>
    <n v="826.43"/>
    <n v="1087.3"/>
    <n v="2.9396620324860741E-2"/>
    <n v="2.2292993630573247E-2"/>
    <n v="59.030714285714282"/>
    <n v="260.87"/>
    <n v="0.31565891848069411"/>
  </r>
  <r>
    <d v="2025-03-23T00:00:00"/>
    <x v="911"/>
    <x v="16"/>
    <x v="2"/>
    <x v="0"/>
    <x v="0"/>
    <s v="Mobile"/>
    <n v="2576"/>
    <n v="70"/>
    <n v="1"/>
    <n v="381.29"/>
    <n v="124.45"/>
    <n v="2.717391304347826E-2"/>
    <n v="1.4285714285714285E-2"/>
    <n v="381.29"/>
    <n v="-256.84000000000003"/>
    <n v="-0.67360801489679778"/>
  </r>
  <r>
    <d v="2025-03-23T00:00:00"/>
    <x v="912"/>
    <x v="4"/>
    <x v="3"/>
    <x v="2"/>
    <x v="1"/>
    <s v="Mobile"/>
    <n v="22551"/>
    <n v="307"/>
    <n v="7"/>
    <n v="335.32"/>
    <n v="375.22"/>
    <n v="1.3613586980621702E-2"/>
    <n v="2.2801302931596091E-2"/>
    <n v="47.902857142857144"/>
    <n v="39.900000000000034"/>
    <n v="0.11899081474412512"/>
  </r>
  <r>
    <d v="2025-03-23T00:00:00"/>
    <x v="913"/>
    <x v="6"/>
    <x v="3"/>
    <x v="0"/>
    <x v="4"/>
    <s v="Mobile"/>
    <n v="19221"/>
    <n v="565"/>
    <n v="2"/>
    <n v="604.88"/>
    <n v="120.66"/>
    <n v="2.9394932625773893E-2"/>
    <n v="3.5398230088495575E-3"/>
    <n v="302.44"/>
    <n v="-484.22"/>
    <n v="-0.80052241766962051"/>
  </r>
  <r>
    <d v="2025-03-24T00:00:00"/>
    <x v="914"/>
    <x v="4"/>
    <x v="3"/>
    <x v="0"/>
    <x v="3"/>
    <s v="Mobile"/>
    <n v="28715"/>
    <n v="422"/>
    <n v="6"/>
    <n v="553.91999999999996"/>
    <n v="458.93"/>
    <n v="1.4696151837018979E-2"/>
    <n v="1.4218009478672985E-2"/>
    <n v="92.32"/>
    <n v="-94.989999999999952"/>
    <n v="-0.17148685730791444"/>
  </r>
  <r>
    <d v="2025-03-24T00:00:00"/>
    <x v="915"/>
    <x v="10"/>
    <x v="3"/>
    <x v="0"/>
    <x v="0"/>
    <s v="Tablet"/>
    <n v="17519"/>
    <n v="387"/>
    <n v="6"/>
    <n v="367.07"/>
    <n v="377.72"/>
    <n v="2.2090301957874307E-2"/>
    <n v="1.5503875968992248E-2"/>
    <n v="61.178333333333335"/>
    <n v="10.650000000000034"/>
    <n v="2.9013539651837617E-2"/>
  </r>
  <r>
    <d v="2025-03-24T00:00:00"/>
    <x v="916"/>
    <x v="1"/>
    <x v="0"/>
    <x v="0"/>
    <x v="1"/>
    <s v="Mobile"/>
    <n v="10449"/>
    <n v="590"/>
    <n v="14"/>
    <n v="1238.8599999999999"/>
    <n v="1615.27"/>
    <n v="5.6464733467317445E-2"/>
    <n v="2.3728813559322035E-2"/>
    <n v="88.49"/>
    <n v="376.41000000000008"/>
    <n v="0.30383578451156718"/>
  </r>
  <r>
    <d v="2025-03-24T00:00:00"/>
    <x v="917"/>
    <x v="7"/>
    <x v="2"/>
    <x v="2"/>
    <x v="4"/>
    <s v="Mobile"/>
    <n v="3048"/>
    <n v="135"/>
    <n v="5"/>
    <n v="496.96"/>
    <n v="708.94"/>
    <n v="4.4291338582677163E-2"/>
    <n v="3.7037037037037035E-2"/>
    <n v="99.391999999999996"/>
    <n v="211.98000000000008"/>
    <n v="0.42655344494526737"/>
  </r>
  <r>
    <d v="2025-03-24T00:00:00"/>
    <x v="918"/>
    <x v="2"/>
    <x v="1"/>
    <x v="2"/>
    <x v="0"/>
    <s v="Mobile"/>
    <n v="15227"/>
    <n v="667"/>
    <n v="20"/>
    <n v="1104.18"/>
    <n v="1309.0899999999999"/>
    <n v="4.3803769619754386E-2"/>
    <n v="2.9985007496251874E-2"/>
    <n v="55.209000000000003"/>
    <n v="204.90999999999985"/>
    <n v="0.18557662699922101"/>
  </r>
  <r>
    <d v="2025-03-24T00:00:00"/>
    <x v="919"/>
    <x v="8"/>
    <x v="3"/>
    <x v="0"/>
    <x v="1"/>
    <s v="Desktop"/>
    <n v="23309"/>
    <n v="468"/>
    <n v="4"/>
    <n v="573.95000000000005"/>
    <n v="189.65"/>
    <n v="2.0078081427774678E-2"/>
    <n v="8.5470085470085479E-3"/>
    <n v="143.48750000000001"/>
    <n v="-384.30000000000007"/>
    <n v="-0.66957052008014639"/>
  </r>
  <r>
    <d v="2025-03-24T00:00:00"/>
    <x v="920"/>
    <x v="3"/>
    <x v="2"/>
    <x v="2"/>
    <x v="1"/>
    <s v="Mobile"/>
    <n v="2180"/>
    <n v="100"/>
    <n v="1"/>
    <n v="651.36"/>
    <n v="178.71"/>
    <n v="4.5871559633027525E-2"/>
    <n v="0.01"/>
    <n v="651.36"/>
    <n v="-472.65"/>
    <n v="-0.72563559322033888"/>
  </r>
  <r>
    <d v="2025-03-24T00:00:00"/>
    <x v="921"/>
    <x v="16"/>
    <x v="2"/>
    <x v="0"/>
    <x v="4"/>
    <s v="Desktop"/>
    <n v="6542"/>
    <n v="301"/>
    <n v="5"/>
    <n v="1341.65"/>
    <n v="592.51"/>
    <n v="4.601039437480893E-2"/>
    <n v="1.6611295681063124E-2"/>
    <n v="268.33000000000004"/>
    <n v="-749.1400000000001"/>
    <n v="-0.55837215369135029"/>
  </r>
  <r>
    <d v="2025-03-24T00:00:00"/>
    <x v="922"/>
    <x v="8"/>
    <x v="3"/>
    <x v="1"/>
    <x v="2"/>
    <s v="Mobile"/>
    <n v="18302"/>
    <n v="430"/>
    <n v="5"/>
    <n v="613.20000000000005"/>
    <n v="216.11"/>
    <n v="2.3494700032783301E-2"/>
    <n v="1.1627906976744186E-2"/>
    <n v="122.64000000000001"/>
    <n v="-397.09000000000003"/>
    <n v="-0.64757012393998692"/>
  </r>
  <r>
    <d v="2025-03-24T00:00:00"/>
    <x v="923"/>
    <x v="15"/>
    <x v="1"/>
    <x v="2"/>
    <x v="2"/>
    <s v="Desktop"/>
    <n v="14911"/>
    <n v="406"/>
    <n v="17"/>
    <n v="735.55"/>
    <n v="1115.78"/>
    <n v="2.7228220776607873E-2"/>
    <n v="4.1871921182266007E-2"/>
    <n v="43.267647058823528"/>
    <n v="380.23"/>
    <n v="0.51693290734824282"/>
  </r>
  <r>
    <d v="2025-03-24T00:00:00"/>
    <x v="924"/>
    <x v="6"/>
    <x v="3"/>
    <x v="0"/>
    <x v="2"/>
    <s v="Mobile"/>
    <n v="30236"/>
    <n v="396"/>
    <n v="5"/>
    <n v="546.33000000000004"/>
    <n v="221.93"/>
    <n v="1.309697049874322E-2"/>
    <n v="1.2626262626262626E-2"/>
    <n v="109.26600000000001"/>
    <n v="-324.40000000000003"/>
    <n v="-0.59378031592627167"/>
  </r>
  <r>
    <d v="2025-03-25T00:00:00"/>
    <x v="925"/>
    <x v="5"/>
    <x v="4"/>
    <x v="0"/>
    <x v="0"/>
    <s v="Desktop"/>
    <n v="3979"/>
    <n v="552"/>
    <n v="72"/>
    <n v="134.69"/>
    <n v="6735.54"/>
    <n v="0.13872832369942195"/>
    <n v="0.13043478260869565"/>
    <n v="1.8706944444444444"/>
    <n v="6600.85"/>
    <n v="49.007721434404935"/>
  </r>
  <r>
    <d v="2025-03-25T00:00:00"/>
    <x v="926"/>
    <x v="11"/>
    <x v="1"/>
    <x v="0"/>
    <x v="1"/>
    <s v="Mobile"/>
    <n v="15914"/>
    <n v="683"/>
    <n v="13"/>
    <n v="814.47"/>
    <n v="930.78"/>
    <n v="4.2918185245695614E-2"/>
    <n v="1.9033674963396779E-2"/>
    <n v="62.651538461538465"/>
    <n v="116.30999999999995"/>
    <n v="0.14280452318685763"/>
  </r>
  <r>
    <d v="2025-03-25T00:00:00"/>
    <x v="927"/>
    <x v="1"/>
    <x v="0"/>
    <x v="1"/>
    <x v="1"/>
    <s v="Mobile"/>
    <n v="14507"/>
    <n v="796"/>
    <n v="23"/>
    <n v="1791.75"/>
    <n v="2173.6799999999998"/>
    <n v="5.4870062728338047E-2"/>
    <n v="2.8894472361809045E-2"/>
    <n v="77.902173913043484"/>
    <n v="381.92999999999984"/>
    <n v="0.21316031812473829"/>
  </r>
  <r>
    <d v="2025-03-25T00:00:00"/>
    <x v="928"/>
    <x v="4"/>
    <x v="3"/>
    <x v="1"/>
    <x v="3"/>
    <s v="Tablet"/>
    <n v="33477"/>
    <n v="495"/>
    <n v="3"/>
    <n v="501.28"/>
    <n v="165.44"/>
    <n v="1.4786271171251905E-2"/>
    <n v="6.0606060606060606E-3"/>
    <n v="167.09333333333333"/>
    <n v="-335.84"/>
    <n v="-0.66996488988190228"/>
  </r>
  <r>
    <d v="2025-03-25T00:00:00"/>
    <x v="929"/>
    <x v="15"/>
    <x v="1"/>
    <x v="0"/>
    <x v="0"/>
    <s v="Mobile"/>
    <n v="18651"/>
    <n v="603"/>
    <n v="16"/>
    <n v="807.23"/>
    <n v="1281.42"/>
    <n v="3.2330706128357728E-2"/>
    <n v="2.6533996683250415E-2"/>
    <n v="50.451875000000001"/>
    <n v="474.19000000000005"/>
    <n v="0.58742861390186196"/>
  </r>
  <r>
    <d v="2025-03-25T00:00:00"/>
    <x v="930"/>
    <x v="16"/>
    <x v="2"/>
    <x v="2"/>
    <x v="0"/>
    <s v="Mobile"/>
    <n v="3395"/>
    <n v="202"/>
    <n v="3"/>
    <n v="1294.07"/>
    <n v="476.22"/>
    <n v="5.949926362297496E-2"/>
    <n v="1.4851485148514851E-2"/>
    <n v="431.35666666666663"/>
    <n v="-817.84999999999991"/>
    <n v="-0.63199826902717782"/>
  </r>
  <r>
    <d v="2025-03-25T00:00:00"/>
    <x v="931"/>
    <x v="10"/>
    <x v="3"/>
    <x v="2"/>
    <x v="4"/>
    <s v="Desktop"/>
    <n v="22864"/>
    <n v="622"/>
    <n v="17"/>
    <n v="631.78"/>
    <n v="1324.63"/>
    <n v="2.7204338698390482E-2"/>
    <n v="2.7331189710610933E-2"/>
    <n v="37.163529411764706"/>
    <n v="692.85000000000014"/>
    <n v="1.0966633954857705"/>
  </r>
  <r>
    <d v="2025-03-25T00:00:00"/>
    <x v="932"/>
    <x v="11"/>
    <x v="1"/>
    <x v="0"/>
    <x v="1"/>
    <s v="Mobile"/>
    <n v="14560"/>
    <n v="303"/>
    <n v="5"/>
    <n v="513.29999999999995"/>
    <n v="478.23"/>
    <n v="2.0810439560439559E-2"/>
    <n v="1.65016501650165E-2"/>
    <n v="102.66"/>
    <n v="-35.069999999999936"/>
    <n v="-6.8322618351840905E-2"/>
  </r>
  <r>
    <d v="2025-03-25T00:00:00"/>
    <x v="933"/>
    <x v="5"/>
    <x v="4"/>
    <x v="2"/>
    <x v="2"/>
    <s v="Desktop"/>
    <n v="3972"/>
    <n v="570"/>
    <n v="163"/>
    <n v="155.1"/>
    <n v="25016.18"/>
    <n v="0.14350453172205438"/>
    <n v="0.28596491228070176"/>
    <n v="0.95153374233128829"/>
    <n v="24861.08"/>
    <n v="160.29065119277888"/>
  </r>
  <r>
    <d v="2025-03-25T00:00:00"/>
    <x v="934"/>
    <x v="17"/>
    <x v="0"/>
    <x v="0"/>
    <x v="4"/>
    <s v="Tablet"/>
    <n v="11016"/>
    <n v="487"/>
    <n v="17"/>
    <n v="1227.5899999999999"/>
    <n v="1592.45"/>
    <n v="4.4208424110384892E-2"/>
    <n v="3.4907597535934289E-2"/>
    <n v="72.211176470588228"/>
    <n v="364.86000000000013"/>
    <n v="0.29721649736475547"/>
  </r>
  <r>
    <d v="2025-03-25T00:00:00"/>
    <x v="935"/>
    <x v="16"/>
    <x v="2"/>
    <x v="0"/>
    <x v="1"/>
    <s v="Mobile"/>
    <n v="2392"/>
    <n v="66"/>
    <n v="1"/>
    <n v="514.91999999999996"/>
    <n v="122.97"/>
    <n v="2.7591973244147156E-2"/>
    <n v="1.5151515151515152E-2"/>
    <n v="514.91999999999996"/>
    <n v="-391.94999999999993"/>
    <n v="-0.76118620368212531"/>
  </r>
  <r>
    <d v="2025-03-26T00:00:00"/>
    <x v="936"/>
    <x v="18"/>
    <x v="4"/>
    <x v="2"/>
    <x v="3"/>
    <s v="Mobile"/>
    <n v="1049"/>
    <n v="176"/>
    <n v="28"/>
    <n v="87.1"/>
    <n v="3164.92"/>
    <n v="0.16777883698760723"/>
    <n v="0.15909090909090909"/>
    <n v="3.1107142857142853"/>
    <n v="3077.82"/>
    <n v="35.336624569460398"/>
  </r>
  <r>
    <d v="2025-03-26T00:00:00"/>
    <x v="937"/>
    <x v="11"/>
    <x v="1"/>
    <x v="2"/>
    <x v="1"/>
    <s v="Desktop"/>
    <n v="17955"/>
    <n v="304"/>
    <n v="15"/>
    <n v="472.85"/>
    <n v="872.53"/>
    <n v="1.6931216931216932E-2"/>
    <n v="4.9342105263157895E-2"/>
    <n v="31.523333333333333"/>
    <n v="399.67999999999995"/>
    <n v="0.84525748123083411"/>
  </r>
  <r>
    <d v="2025-03-26T00:00:00"/>
    <x v="938"/>
    <x v="2"/>
    <x v="1"/>
    <x v="0"/>
    <x v="0"/>
    <s v="Mobile"/>
    <n v="10840"/>
    <n v="386"/>
    <n v="9"/>
    <n v="424.91"/>
    <n v="521.58000000000004"/>
    <n v="3.5608856088560889E-2"/>
    <n v="2.3316062176165803E-2"/>
    <n v="47.212222222222223"/>
    <n v="96.670000000000016"/>
    <n v="0.22750700148266695"/>
  </r>
  <r>
    <d v="2025-03-26T00:00:00"/>
    <x v="939"/>
    <x v="5"/>
    <x v="4"/>
    <x v="0"/>
    <x v="0"/>
    <s v="Tablet"/>
    <n v="4287"/>
    <n v="543"/>
    <n v="45"/>
    <n v="256.51"/>
    <n v="6064.19"/>
    <n v="0.12666200139958012"/>
    <n v="8.2872928176795577E-2"/>
    <n v="5.7002222222222221"/>
    <n v="5807.6799999999994"/>
    <n v="22.641144594752639"/>
  </r>
  <r>
    <d v="2025-03-26T00:00:00"/>
    <x v="940"/>
    <x v="19"/>
    <x v="4"/>
    <x v="2"/>
    <x v="0"/>
    <s v="Desktop"/>
    <n v="2464"/>
    <n v="362"/>
    <n v="101"/>
    <n v="111.3"/>
    <n v="14722.13"/>
    <n v="0.14691558441558442"/>
    <n v="0.27900552486187846"/>
    <n v="1.1019801980198018"/>
    <n v="14610.83"/>
    <n v="131.27430368373766"/>
  </r>
  <r>
    <d v="2025-03-26T00:00:00"/>
    <x v="941"/>
    <x v="3"/>
    <x v="2"/>
    <x v="2"/>
    <x v="2"/>
    <s v="Mobile"/>
    <n v="2069"/>
    <n v="69"/>
    <n v="1"/>
    <n v="407.43"/>
    <n v="177.9"/>
    <n v="3.3349444175930401E-2"/>
    <n v="1.4492753623188406E-2"/>
    <n v="407.43"/>
    <n v="-229.53"/>
    <n v="-0.56336057727707822"/>
  </r>
  <r>
    <d v="2025-03-26T00:00:00"/>
    <x v="942"/>
    <x v="1"/>
    <x v="0"/>
    <x v="2"/>
    <x v="3"/>
    <s v="Mobile"/>
    <n v="5438"/>
    <n v="284"/>
    <n v="17"/>
    <n v="633.47"/>
    <n v="1322.63"/>
    <n v="5.2225082751011398E-2"/>
    <n v="5.9859154929577461E-2"/>
    <n v="37.262941176470591"/>
    <n v="689.16000000000008"/>
    <n v="1.0879126083318864"/>
  </r>
  <r>
    <d v="2025-03-26T00:00:00"/>
    <x v="943"/>
    <x v="10"/>
    <x v="3"/>
    <x v="0"/>
    <x v="1"/>
    <s v="Mobile"/>
    <n v="25917"/>
    <n v="771"/>
    <n v="7"/>
    <n v="678.98"/>
    <n v="446.03"/>
    <n v="2.9748813520083343E-2"/>
    <n v="9.0791180285343717E-3"/>
    <n v="96.997142857142862"/>
    <n v="-232.95000000000005"/>
    <n v="-0.34308816165424616"/>
  </r>
  <r>
    <d v="2025-03-26T00:00:00"/>
    <x v="944"/>
    <x v="1"/>
    <x v="0"/>
    <x v="2"/>
    <x v="0"/>
    <s v="Desktop"/>
    <n v="9806"/>
    <n v="499"/>
    <n v="28"/>
    <n v="1127.1600000000001"/>
    <n v="2956.91"/>
    <n v="5.0887211911074849E-2"/>
    <n v="5.6112224448897796E-2"/>
    <n v="40.255714285714291"/>
    <n v="1829.7499999999998"/>
    <n v="1.6233276553461795"/>
  </r>
  <r>
    <d v="2025-03-26T00:00:00"/>
    <x v="945"/>
    <x v="2"/>
    <x v="1"/>
    <x v="0"/>
    <x v="3"/>
    <s v="Desktop"/>
    <n v="19517"/>
    <n v="579"/>
    <n v="18"/>
    <n v="1116.8900000000001"/>
    <n v="1401.88"/>
    <n v="2.966644463800789E-2"/>
    <n v="3.1088082901554404E-2"/>
    <n v="62.049444444444447"/>
    <n v="284.99"/>
    <n v="0.25516389259461542"/>
  </r>
  <r>
    <d v="2025-03-26T00:00:00"/>
    <x v="946"/>
    <x v="9"/>
    <x v="4"/>
    <x v="0"/>
    <x v="3"/>
    <s v="Mobile"/>
    <n v="4101"/>
    <n v="542"/>
    <n v="39"/>
    <n v="167.46"/>
    <n v="3612.25"/>
    <n v="0.13216288710070714"/>
    <n v="7.1955719557195569E-2"/>
    <n v="4.2938461538461539"/>
    <n v="3444.79"/>
    <n v="20.570822883076556"/>
  </r>
  <r>
    <d v="2025-03-26T00:00:00"/>
    <x v="947"/>
    <x v="13"/>
    <x v="2"/>
    <x v="0"/>
    <x v="3"/>
    <s v="Desktop"/>
    <n v="5270"/>
    <n v="251"/>
    <n v="2"/>
    <n v="1579.67"/>
    <n v="402.95"/>
    <n v="4.7628083491461103E-2"/>
    <n v="7.9681274900398405E-3"/>
    <n v="789.83500000000004"/>
    <n v="-1176.72"/>
    <n v="-0.74491507719966832"/>
  </r>
  <r>
    <d v="2025-03-26T00:00:00"/>
    <x v="948"/>
    <x v="3"/>
    <x v="2"/>
    <x v="2"/>
    <x v="4"/>
    <s v="Mobile"/>
    <n v="5002"/>
    <n v="138"/>
    <n v="3"/>
    <n v="716.86"/>
    <n v="555.24"/>
    <n v="2.7588964414234307E-2"/>
    <n v="2.1739130434782608E-2"/>
    <n v="238.95333333333335"/>
    <n v="-161.62"/>
    <n v="-0.22545545852746701"/>
  </r>
  <r>
    <d v="2025-03-26T00:00:00"/>
    <x v="949"/>
    <x v="19"/>
    <x v="4"/>
    <x v="1"/>
    <x v="3"/>
    <s v="Mobile"/>
    <n v="1104"/>
    <n v="111"/>
    <n v="7"/>
    <n v="46.55"/>
    <n v="717.16"/>
    <n v="0.10054347826086957"/>
    <n v="6.3063063063063057E-2"/>
    <n v="6.6499999999999995"/>
    <n v="670.61"/>
    <n v="14.406229860365199"/>
  </r>
  <r>
    <d v="2025-03-26T00:00:00"/>
    <x v="950"/>
    <x v="16"/>
    <x v="2"/>
    <x v="1"/>
    <x v="1"/>
    <s v="Desktop"/>
    <n v="3653"/>
    <n v="159"/>
    <n v="2"/>
    <n v="767.66"/>
    <n v="354.09"/>
    <n v="4.3525869148644952E-2"/>
    <n v="1.2578616352201259E-2"/>
    <n v="383.83"/>
    <n v="-413.57"/>
    <n v="-0.53874110934528308"/>
  </r>
  <r>
    <d v="2025-03-27T00:00:00"/>
    <x v="951"/>
    <x v="14"/>
    <x v="1"/>
    <x v="2"/>
    <x v="0"/>
    <s v="Mobile"/>
    <n v="18223"/>
    <n v="531"/>
    <n v="11"/>
    <n v="581.36"/>
    <n v="670.81"/>
    <n v="2.9139000164627119E-2"/>
    <n v="2.0715630885122412E-2"/>
    <n v="52.850909090909092"/>
    <n v="89.449999999999932"/>
    <n v="0.15386335489197731"/>
  </r>
  <r>
    <d v="2025-03-27T00:00:00"/>
    <x v="952"/>
    <x v="11"/>
    <x v="1"/>
    <x v="0"/>
    <x v="4"/>
    <s v="Mobile"/>
    <n v="8072"/>
    <n v="171"/>
    <n v="2"/>
    <n v="260.44"/>
    <n v="130.86000000000001"/>
    <n v="2.1184340931615461E-2"/>
    <n v="1.1695906432748537E-2"/>
    <n v="130.22"/>
    <n v="-129.57999999999998"/>
    <n v="-0.49754262018123169"/>
  </r>
  <r>
    <d v="2025-03-27T00:00:00"/>
    <x v="953"/>
    <x v="0"/>
    <x v="0"/>
    <x v="2"/>
    <x v="4"/>
    <s v="Mobile"/>
    <n v="14239"/>
    <n v="989"/>
    <n v="59"/>
    <n v="2405.62"/>
    <n v="5503.42"/>
    <n v="6.9457124798089756E-2"/>
    <n v="5.9656218402426693E-2"/>
    <n v="40.773220338983052"/>
    <n v="3097.8"/>
    <n v="1.2877345549172357"/>
  </r>
  <r>
    <d v="2025-03-27T00:00:00"/>
    <x v="954"/>
    <x v="7"/>
    <x v="2"/>
    <x v="0"/>
    <x v="1"/>
    <s v="Mobile"/>
    <n v="4920"/>
    <n v="174"/>
    <n v="1"/>
    <n v="768.59"/>
    <n v="137.68"/>
    <n v="3.5365853658536582E-2"/>
    <n v="5.7471264367816091E-3"/>
    <n v="768.59"/>
    <n v="-630.91000000000008"/>
    <n v="-0.82086678202943064"/>
  </r>
  <r>
    <d v="2025-03-27T00:00:00"/>
    <x v="955"/>
    <x v="11"/>
    <x v="1"/>
    <x v="2"/>
    <x v="3"/>
    <s v="Desktop"/>
    <n v="11457"/>
    <n v="445"/>
    <n v="24"/>
    <n v="513.65"/>
    <n v="1354.43"/>
    <n v="3.8840883302784325E-2"/>
    <n v="5.3932584269662923E-2"/>
    <n v="21.402083333333334"/>
    <n v="840.78000000000009"/>
    <n v="1.6368733573444956"/>
  </r>
  <r>
    <d v="2025-03-27T00:00:00"/>
    <x v="956"/>
    <x v="7"/>
    <x v="2"/>
    <x v="2"/>
    <x v="1"/>
    <s v="Mobile"/>
    <n v="3658"/>
    <n v="154"/>
    <n v="2"/>
    <n v="1214.76"/>
    <n v="239.45"/>
    <n v="4.2099507927829412E-2"/>
    <n v="1.2987012987012988E-2"/>
    <n v="607.38"/>
    <n v="-975.31"/>
    <n v="-0.80288287398333824"/>
  </r>
  <r>
    <d v="2025-03-27T00:00:00"/>
    <x v="957"/>
    <x v="11"/>
    <x v="1"/>
    <x v="2"/>
    <x v="2"/>
    <s v="Desktop"/>
    <n v="8584"/>
    <n v="205"/>
    <n v="11"/>
    <n v="374.77"/>
    <n v="1054.75"/>
    <n v="2.3881640260950607E-2"/>
    <n v="5.3658536585365853E-2"/>
    <n v="34.07"/>
    <n v="679.98"/>
    <n v="1.8143928276009287"/>
  </r>
  <r>
    <d v="2025-03-27T00:00:00"/>
    <x v="958"/>
    <x v="8"/>
    <x v="3"/>
    <x v="0"/>
    <x v="1"/>
    <s v="Desktop"/>
    <n v="34075"/>
    <n v="445"/>
    <n v="6"/>
    <n v="449.86"/>
    <n v="503.72"/>
    <n v="1.3059427732942039E-2"/>
    <n v="1.3483146067415731E-2"/>
    <n v="74.976666666666674"/>
    <n v="53.860000000000014"/>
    <n v="0.11972613702040638"/>
  </r>
  <r>
    <d v="2025-03-28T00:00:00"/>
    <x v="959"/>
    <x v="11"/>
    <x v="1"/>
    <x v="0"/>
    <x v="0"/>
    <s v="Desktop"/>
    <n v="8426"/>
    <n v="220"/>
    <n v="7"/>
    <n v="259.22000000000003"/>
    <n v="676.15"/>
    <n v="2.6109660574412531E-2"/>
    <n v="3.1818181818181815E-2"/>
    <n v="37.031428571428577"/>
    <n v="416.92999999999995"/>
    <n v="1.6084021294653186"/>
  </r>
  <r>
    <d v="2025-03-28T00:00:00"/>
    <x v="960"/>
    <x v="1"/>
    <x v="0"/>
    <x v="0"/>
    <x v="2"/>
    <s v="Mobile"/>
    <n v="14249"/>
    <n v="501"/>
    <n v="16"/>
    <n v="839.83"/>
    <n v="1362.35"/>
    <n v="3.5160362130675839E-2"/>
    <n v="3.1936127744510975E-2"/>
    <n v="52.489375000000003"/>
    <n v="522.51999999999987"/>
    <n v="0.62217353512020268"/>
  </r>
  <r>
    <d v="2025-03-28T00:00:00"/>
    <x v="961"/>
    <x v="19"/>
    <x v="4"/>
    <x v="0"/>
    <x v="0"/>
    <s v="Mobile"/>
    <n v="4274"/>
    <n v="445"/>
    <n v="36"/>
    <n v="169.36"/>
    <n v="4992.18"/>
    <n v="0.10411792232101076"/>
    <n v="8.0898876404494377E-2"/>
    <n v="4.7044444444444444"/>
    <n v="4822.8200000000006"/>
    <n v="28.476735947094948"/>
  </r>
  <r>
    <d v="2025-03-28T00:00:00"/>
    <x v="962"/>
    <x v="2"/>
    <x v="1"/>
    <x v="0"/>
    <x v="2"/>
    <s v="Mobile"/>
    <n v="13654"/>
    <n v="435"/>
    <n v="7"/>
    <n v="753.21"/>
    <n v="408.32"/>
    <n v="3.1858795957228653E-2"/>
    <n v="1.6091954022988506E-2"/>
    <n v="107.60142857142857"/>
    <n v="-344.89000000000004"/>
    <n v="-0.4578935489438537"/>
  </r>
  <r>
    <d v="2025-03-28T00:00:00"/>
    <x v="963"/>
    <x v="3"/>
    <x v="2"/>
    <x v="2"/>
    <x v="4"/>
    <s v="Mobile"/>
    <n v="6566"/>
    <n v="232"/>
    <n v="6"/>
    <n v="1014.72"/>
    <n v="1131"/>
    <n v="3.5333536399634484E-2"/>
    <n v="2.5862068965517241E-2"/>
    <n v="169.12"/>
    <n v="116.27999999999997"/>
    <n v="0.11459318826868493"/>
  </r>
  <r>
    <d v="2025-03-28T00:00:00"/>
    <x v="964"/>
    <x v="15"/>
    <x v="1"/>
    <x v="2"/>
    <x v="3"/>
    <s v="Mobile"/>
    <n v="17281"/>
    <n v="848"/>
    <n v="27"/>
    <n v="1511.37"/>
    <n v="1749.71"/>
    <n v="4.9071234303570396E-2"/>
    <n v="3.1839622641509434E-2"/>
    <n v="55.976666666666659"/>
    <n v="238.34000000000015"/>
    <n v="0.15769798262503568"/>
  </r>
  <r>
    <d v="2025-03-28T00:00:00"/>
    <x v="965"/>
    <x v="6"/>
    <x v="3"/>
    <x v="2"/>
    <x v="0"/>
    <s v="Mobile"/>
    <n v="28216"/>
    <n v="890"/>
    <n v="11"/>
    <n v="961.43"/>
    <n v="887.82"/>
    <n v="3.154238729798696E-2"/>
    <n v="1.2359550561797753E-2"/>
    <n v="87.402727272727262"/>
    <n v="-73.6099999999999"/>
    <n v="-7.6563036310495727E-2"/>
  </r>
  <r>
    <d v="2025-03-28T00:00:00"/>
    <x v="966"/>
    <x v="5"/>
    <x v="4"/>
    <x v="0"/>
    <x v="1"/>
    <s v="Mobile"/>
    <n v="4727"/>
    <n v="626"/>
    <n v="75"/>
    <n v="142.62"/>
    <n v="9597.91"/>
    <n v="0.13243071715675905"/>
    <n v="0.11980830670926518"/>
    <n v="1.9016"/>
    <n v="9455.2899999999991"/>
    <n v="66.297083158042341"/>
  </r>
  <r>
    <d v="2025-03-28T00:00:00"/>
    <x v="967"/>
    <x v="17"/>
    <x v="0"/>
    <x v="0"/>
    <x v="2"/>
    <s v="Desktop"/>
    <n v="8180"/>
    <n v="330"/>
    <n v="16"/>
    <n v="671.98"/>
    <n v="2012.48"/>
    <n v="4.0342298288508556E-2"/>
    <n v="4.8484848484848485E-2"/>
    <n v="41.998750000000001"/>
    <n v="1340.5"/>
    <n v="1.9948510372332509"/>
  </r>
  <r>
    <d v="2025-03-28T00:00:00"/>
    <x v="968"/>
    <x v="13"/>
    <x v="2"/>
    <x v="2"/>
    <x v="2"/>
    <s v="Desktop"/>
    <n v="3283"/>
    <n v="165"/>
    <n v="7"/>
    <n v="738.71"/>
    <n v="1178.05"/>
    <n v="5.0258909533962837E-2"/>
    <n v="4.2424242424242427E-2"/>
    <n v="105.53"/>
    <n v="439.33999999999992"/>
    <n v="0.59473947827970364"/>
  </r>
  <r>
    <d v="2025-03-29T00:00:00"/>
    <x v="969"/>
    <x v="8"/>
    <x v="3"/>
    <x v="2"/>
    <x v="1"/>
    <s v="Mobile"/>
    <n v="22909"/>
    <n v="398"/>
    <n v="7"/>
    <n v="347.05"/>
    <n v="465.03"/>
    <n v="1.7373084813828626E-2"/>
    <n v="1.7587939698492462E-2"/>
    <n v="49.578571428571429"/>
    <n v="117.97999999999996"/>
    <n v="0.33995101570378894"/>
  </r>
  <r>
    <d v="2025-03-29T00:00:00"/>
    <x v="970"/>
    <x v="4"/>
    <x v="3"/>
    <x v="0"/>
    <x v="4"/>
    <s v="Mobile"/>
    <n v="36192"/>
    <n v="626"/>
    <n v="4"/>
    <n v="768.03"/>
    <n v="317.95"/>
    <n v="1.7296640141467728E-2"/>
    <n v="6.3897763578274758E-3"/>
    <n v="192.00749999999999"/>
    <n v="-450.08"/>
    <n v="-0.58601877530825619"/>
  </r>
  <r>
    <d v="2025-03-29T00:00:00"/>
    <x v="971"/>
    <x v="6"/>
    <x v="3"/>
    <x v="1"/>
    <x v="2"/>
    <s v="Mobile"/>
    <n v="28751"/>
    <n v="418"/>
    <n v="2"/>
    <n v="492.99"/>
    <n v="31.58"/>
    <n v="1.4538624743487183E-2"/>
    <n v="4.7846889952153108E-3"/>
    <n v="246.495"/>
    <n v="-461.41"/>
    <n v="-0.93594190551532486"/>
  </r>
  <r>
    <d v="2025-03-29T00:00:00"/>
    <x v="972"/>
    <x v="11"/>
    <x v="1"/>
    <x v="2"/>
    <x v="0"/>
    <s v="Desktop"/>
    <n v="9173"/>
    <n v="242"/>
    <n v="10"/>
    <n v="296.44"/>
    <n v="990.08"/>
    <n v="2.6381772593480866E-2"/>
    <n v="4.1322314049586778E-2"/>
    <n v="29.643999999999998"/>
    <n v="693.6400000000001"/>
    <n v="2.3399001484280126"/>
  </r>
  <r>
    <d v="2025-03-29T00:00:00"/>
    <x v="973"/>
    <x v="11"/>
    <x v="1"/>
    <x v="2"/>
    <x v="1"/>
    <s v="Mobile"/>
    <n v="14815"/>
    <n v="547"/>
    <n v="18"/>
    <n v="765.56"/>
    <n v="1302.77"/>
    <n v="3.6922038474519067E-2"/>
    <n v="3.2906764168190127E-2"/>
    <n v="42.531111111111109"/>
    <n v="537.21"/>
    <n v="0.70172161554940182"/>
  </r>
  <r>
    <d v="2025-03-29T00:00:00"/>
    <x v="974"/>
    <x v="13"/>
    <x v="2"/>
    <x v="0"/>
    <x v="2"/>
    <s v="Tablet"/>
    <n v="6182"/>
    <n v="145"/>
    <n v="2"/>
    <n v="712.58"/>
    <n v="322.14999999999998"/>
    <n v="2.3455192494338403E-2"/>
    <n v="1.3793103448275862E-2"/>
    <n v="356.29"/>
    <n v="-390.43000000000006"/>
    <n v="-0.54791041005922148"/>
  </r>
  <r>
    <d v="2025-03-29T00:00:00"/>
    <x v="975"/>
    <x v="18"/>
    <x v="4"/>
    <x v="0"/>
    <x v="3"/>
    <s v="Mobile"/>
    <n v="4163"/>
    <n v="563"/>
    <n v="70"/>
    <n v="121.68"/>
    <n v="6974.88"/>
    <n v="0.13523901032908961"/>
    <n v="0.12433392539964476"/>
    <n v="1.7382857142857144"/>
    <n v="6853.2"/>
    <n v="56.321499013806701"/>
  </r>
  <r>
    <d v="2025-03-29T00:00:00"/>
    <x v="976"/>
    <x v="9"/>
    <x v="4"/>
    <x v="0"/>
    <x v="2"/>
    <s v="Tablet"/>
    <n v="2765"/>
    <n v="389"/>
    <n v="58"/>
    <n v="161.94"/>
    <n v="5808.69"/>
    <n v="0.14068716094032549"/>
    <n v="0.14910025706940874"/>
    <n v="2.7920689655172413"/>
    <n v="5646.75"/>
    <n v="34.869396072619487"/>
  </r>
  <r>
    <d v="2025-03-29T00:00:00"/>
    <x v="977"/>
    <x v="0"/>
    <x v="0"/>
    <x v="0"/>
    <x v="2"/>
    <s v="Mobile"/>
    <n v="10283"/>
    <n v="575"/>
    <n v="11"/>
    <n v="891.14"/>
    <n v="1231.67"/>
    <n v="5.5917533793639985E-2"/>
    <n v="1.9130434782608695E-2"/>
    <n v="81.012727272727275"/>
    <n v="340.53000000000009"/>
    <n v="0.38212850954956584"/>
  </r>
  <r>
    <d v="2025-03-30T00:00:00"/>
    <x v="978"/>
    <x v="11"/>
    <x v="1"/>
    <x v="2"/>
    <x v="1"/>
    <s v="Mobile"/>
    <n v="16961"/>
    <n v="552"/>
    <n v="21"/>
    <n v="703.23"/>
    <n v="1917.07"/>
    <n v="3.254525086964212E-2"/>
    <n v="3.8043478260869568E-2"/>
    <n v="33.487142857142857"/>
    <n v="1213.8399999999999"/>
    <n v="1.726092459081666"/>
  </r>
  <r>
    <d v="2025-03-30T00:00:00"/>
    <x v="979"/>
    <x v="17"/>
    <x v="0"/>
    <x v="0"/>
    <x v="2"/>
    <s v="Desktop"/>
    <n v="10835"/>
    <n v="682"/>
    <n v="28"/>
    <n v="1557.97"/>
    <n v="2845.97"/>
    <n v="6.2944162436548226E-2"/>
    <n v="4.1055718475073312E-2"/>
    <n v="55.641785714285717"/>
    <n v="1287.9999999999998"/>
    <n v="0.82671681739699721"/>
  </r>
  <r>
    <d v="2025-03-30T00:00:00"/>
    <x v="980"/>
    <x v="7"/>
    <x v="2"/>
    <x v="1"/>
    <x v="3"/>
    <s v="Mobile"/>
    <n v="5386"/>
    <n v="130"/>
    <n v="1"/>
    <n v="613"/>
    <n v="14.32"/>
    <n v="2.4136650575566285E-2"/>
    <n v="7.6923076923076927E-3"/>
    <n v="613"/>
    <n v="-598.67999999999995"/>
    <n v="-0.97663947797716144"/>
  </r>
  <r>
    <d v="2025-03-30T00:00:00"/>
    <x v="981"/>
    <x v="16"/>
    <x v="2"/>
    <x v="0"/>
    <x v="0"/>
    <s v="Mobile"/>
    <n v="4248"/>
    <n v="219"/>
    <n v="4"/>
    <n v="1620.74"/>
    <n v="546.53"/>
    <n v="5.1553672316384178E-2"/>
    <n v="1.8264840182648401E-2"/>
    <n v="405.185"/>
    <n v="-1074.21"/>
    <n v="-0.6627898367412417"/>
  </r>
  <r>
    <d v="2025-03-30T00:00:00"/>
    <x v="982"/>
    <x v="3"/>
    <x v="2"/>
    <x v="1"/>
    <x v="1"/>
    <s v="Mobile"/>
    <n v="3100"/>
    <n v="142"/>
    <n v="0"/>
    <n v="708.25"/>
    <n v="0"/>
    <n v="4.5806451612903226E-2"/>
    <n v="0"/>
    <n v="0"/>
    <n v="-708.25"/>
    <n v="-1"/>
  </r>
  <r>
    <d v="2025-03-30T00:00:00"/>
    <x v="983"/>
    <x v="16"/>
    <x v="2"/>
    <x v="2"/>
    <x v="4"/>
    <s v="Mobile"/>
    <n v="3174"/>
    <n v="100"/>
    <n v="3"/>
    <n v="652.28"/>
    <n v="567.85"/>
    <n v="3.1505986137366097E-2"/>
    <n v="0.03"/>
    <n v="217.42666666666665"/>
    <n v="-84.42999999999995"/>
    <n v="-0.12943827804010541"/>
  </r>
  <r>
    <d v="2025-03-30T00:00:00"/>
    <x v="984"/>
    <x v="18"/>
    <x v="4"/>
    <x v="2"/>
    <x v="4"/>
    <s v="Mobile"/>
    <n v="1275"/>
    <n v="172"/>
    <n v="31"/>
    <n v="32.14"/>
    <n v="3988.63"/>
    <n v="0.13490196078431371"/>
    <n v="0.18023255813953487"/>
    <n v="1.0367741935483872"/>
    <n v="3956.4900000000002"/>
    <n v="123.10174237710019"/>
  </r>
  <r>
    <d v="2025-03-30T00:00:00"/>
    <x v="985"/>
    <x v="11"/>
    <x v="1"/>
    <x v="0"/>
    <x v="1"/>
    <s v="Desktop"/>
    <n v="11414"/>
    <n v="353"/>
    <n v="9"/>
    <n v="561.53"/>
    <n v="823.25"/>
    <n v="3.0926931838093568E-2"/>
    <n v="2.5495750708215296E-2"/>
    <n v="62.392222222222216"/>
    <n v="261.72000000000003"/>
    <n v="0.46608373550834337"/>
  </r>
  <r>
    <d v="2025-03-30T00:00:00"/>
    <x v="986"/>
    <x v="19"/>
    <x v="4"/>
    <x v="1"/>
    <x v="2"/>
    <s v="Mobile"/>
    <n v="4206"/>
    <n v="358"/>
    <n v="20"/>
    <n v="167.82"/>
    <n v="2546.9"/>
    <n v="8.5116500237755591E-2"/>
    <n v="5.5865921787709494E-2"/>
    <n v="8.391"/>
    <n v="2379.08"/>
    <n v="14.176379454177095"/>
  </r>
  <r>
    <d v="2025-03-30T00:00:00"/>
    <x v="987"/>
    <x v="19"/>
    <x v="4"/>
    <x v="2"/>
    <x v="3"/>
    <s v="Mobile"/>
    <n v="2059"/>
    <n v="366"/>
    <n v="69"/>
    <n v="104.97"/>
    <n v="7196.79"/>
    <n v="0.17775619232637202"/>
    <n v="0.18852459016393441"/>
    <n v="1.521304347826087"/>
    <n v="7091.82"/>
    <n v="67.560445841669051"/>
  </r>
  <r>
    <d v="2025-03-30T00:00:00"/>
    <x v="988"/>
    <x v="9"/>
    <x v="4"/>
    <x v="0"/>
    <x v="4"/>
    <s v="Tablet"/>
    <n v="1159"/>
    <n v="157"/>
    <n v="22"/>
    <n v="57.17"/>
    <n v="2696.52"/>
    <n v="0.13546160483175151"/>
    <n v="0.14012738853503184"/>
    <n v="2.5986363636363636"/>
    <n v="2639.35"/>
    <n v="46.166695819485739"/>
  </r>
  <r>
    <d v="2025-03-31T00:00:00"/>
    <x v="989"/>
    <x v="17"/>
    <x v="0"/>
    <x v="2"/>
    <x v="2"/>
    <s v="Mobile"/>
    <n v="10811"/>
    <n v="559"/>
    <n v="17"/>
    <n v="1218.05"/>
    <n v="1909.31"/>
    <n v="5.1706595134585143E-2"/>
    <n v="3.041144901610018E-2"/>
    <n v="71.649999999999991"/>
    <n v="691.26"/>
    <n v="0.56751364886498912"/>
  </r>
  <r>
    <d v="2025-03-31T00:00:00"/>
    <x v="990"/>
    <x v="1"/>
    <x v="0"/>
    <x v="0"/>
    <x v="2"/>
    <s v="Desktop"/>
    <n v="6833"/>
    <n v="278"/>
    <n v="10"/>
    <n v="615.33000000000004"/>
    <n v="1146.3"/>
    <n v="4.0684911459095564E-2"/>
    <n v="3.5971223021582732E-2"/>
    <n v="61.533000000000001"/>
    <n v="530.96999999999991"/>
    <n v="0.86290283262639544"/>
  </r>
  <r>
    <d v="2025-03-31T00:00:00"/>
    <x v="991"/>
    <x v="1"/>
    <x v="0"/>
    <x v="0"/>
    <x v="4"/>
    <s v="Mobile"/>
    <n v="7573"/>
    <n v="283"/>
    <n v="8"/>
    <n v="398.24"/>
    <n v="505"/>
    <n v="3.7369602535322857E-2"/>
    <n v="2.8268551236749116E-2"/>
    <n v="49.78"/>
    <n v="106.75999999999999"/>
    <n v="0.26807955002008838"/>
  </r>
  <r>
    <d v="2025-03-31T00:00:00"/>
    <x v="992"/>
    <x v="5"/>
    <x v="4"/>
    <x v="0"/>
    <x v="2"/>
    <s v="Mobile"/>
    <n v="4567"/>
    <n v="413"/>
    <n v="49"/>
    <n v="153.05000000000001"/>
    <n v="6747.98"/>
    <n v="9.0431355375520037E-2"/>
    <n v="0.11864406779661017"/>
    <n v="3.1234693877551023"/>
    <n v="6594.9299999999994"/>
    <n v="43.090035935968629"/>
  </r>
  <r>
    <d v="2025-03-31T00:00:00"/>
    <x v="993"/>
    <x v="1"/>
    <x v="0"/>
    <x v="2"/>
    <x v="0"/>
    <s v="Desktop"/>
    <n v="11418"/>
    <n v="611"/>
    <n v="46"/>
    <n v="0"/>
    <n v="5723.23"/>
    <n v="5.35119985987038E-2"/>
    <n v="7.5286415711947621E-2"/>
    <n v="0"/>
    <n v="5723.23"/>
    <n v="0"/>
  </r>
  <r>
    <d v="2025-03-31T00:00:00"/>
    <x v="994"/>
    <x v="13"/>
    <x v="2"/>
    <x v="0"/>
    <x v="1"/>
    <s v="Mobile"/>
    <n v="6587"/>
    <n v="272"/>
    <n v="4"/>
    <n v="1159.6099999999999"/>
    <n v="770.98"/>
    <n v="4.1293456808865946E-2"/>
    <n v="1.4705882352941176E-2"/>
    <n v="289.90249999999997"/>
    <n v="-388.62999999999988"/>
    <n v="-0.33513853795672677"/>
  </r>
  <r>
    <d v="2025-03-31T00:00:00"/>
    <x v="995"/>
    <x v="2"/>
    <x v="1"/>
    <x v="2"/>
    <x v="4"/>
    <s v="Mobile"/>
    <n v="12676"/>
    <n v="383"/>
    <n v="18"/>
    <n v="472.64"/>
    <n v="1149.23"/>
    <n v="3.021457873146103E-2"/>
    <n v="4.6997389033942558E-2"/>
    <n v="26.257777777777775"/>
    <n v="676.59"/>
    <n v="1.4315123561272851"/>
  </r>
  <r>
    <d v="2025-03-31T00:00:00"/>
    <x v="996"/>
    <x v="4"/>
    <x v="3"/>
    <x v="2"/>
    <x v="4"/>
    <s v="Mobile"/>
    <n v="31270"/>
    <n v="880"/>
    <n v="11"/>
    <n v="675.87"/>
    <n v="613.48"/>
    <n v="2.8141989126958745E-2"/>
    <n v="1.2500000000000001E-2"/>
    <n v="61.442727272727275"/>
    <n v="-62.389999999999986"/>
    <n v="-9.2310651456641052E-2"/>
  </r>
  <r>
    <d v="2025-03-31T00:00:00"/>
    <x v="997"/>
    <x v="16"/>
    <x v="2"/>
    <x v="0"/>
    <x v="0"/>
    <s v="Mobile"/>
    <n v="3213"/>
    <n v="96"/>
    <n v="1"/>
    <n v="640.23"/>
    <n v="103.72"/>
    <n v="2.9878618113912233E-2"/>
    <n v="1.0416666666666666E-2"/>
    <n v="640.23"/>
    <n v="-536.51"/>
    <n v="-0.8379957202880215"/>
  </r>
  <r>
    <d v="2025-03-31T00:00:00"/>
    <x v="998"/>
    <x v="4"/>
    <x v="3"/>
    <x v="0"/>
    <x v="0"/>
    <s v="Mobile"/>
    <n v="18910"/>
    <n v="633"/>
    <n v="11"/>
    <n v="857.1"/>
    <n v="498.49"/>
    <n v="3.3474352194606032E-2"/>
    <n v="1.7377567140600316E-2"/>
    <n v="77.918181818181822"/>
    <n v="-358.61"/>
    <n v="-0.41839925329599814"/>
  </r>
  <r>
    <d v="2025-03-31T00:00:00"/>
    <x v="999"/>
    <x v="16"/>
    <x v="2"/>
    <x v="0"/>
    <x v="0"/>
    <s v="Mobile"/>
    <n v="4754"/>
    <n v="210"/>
    <n v="3"/>
    <n v="1199.52"/>
    <n v="327.02"/>
    <n v="4.4173327724021876E-2"/>
    <n v="1.4285714285714285E-2"/>
    <n v="399.84"/>
    <n v="-872.5"/>
    <n v="-0.72737428304655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9AA4F-96F4-5047-837B-426FA20866E8}" name="PivotTable6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9" firstHeaderRow="0" firstDataRow="1" firstDataCol="1"/>
  <pivotFields count="17">
    <pivotField numFmtId="14" showAll="0"/>
    <pivotField showAll="0"/>
    <pivotField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67" showAll="0"/>
    <pivotField dataField="1" numFmtId="167" showAll="0"/>
    <pivotField numFmtId="10" showAll="0"/>
    <pivotField numFmtId="10" showAll="0"/>
    <pivotField numFmtId="167" showAll="0"/>
    <pivotField dataField="1" numFmtId="167" showAll="0"/>
    <pivotField dataField="1" numFmtId="10" showAll="0"/>
  </pivotFields>
  <rowFields count="1">
    <field x="3"/>
  </rowFields>
  <rowItems count="6">
    <i>
      <x/>
    </i>
    <i>
      <x v="2"/>
    </i>
    <i>
      <x v="1"/>
    </i>
    <i>
      <x v="4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_CAD" fld="11" baseField="0" baseItem="0" numFmtId="167"/>
    <dataField name="Sum of Ad_Spend_CAD" fld="10" baseField="0" baseItem="0" numFmtId="167"/>
    <dataField name="Sum of Profit" fld="15" baseField="0" baseItem="0" numFmtId="167"/>
    <dataField name="Sum of ROI" fld="16" baseField="0" baseItem="0" numFmtId="10"/>
  </dataFields>
  <formats count="2">
    <format dxfId="11">
      <pivotArea collapsedLevelsAreSubtotals="1" fieldPosition="0">
        <references count="1">
          <reference field="3" count="1">
            <x v="0"/>
          </reference>
        </references>
      </pivotArea>
    </format>
    <format dxfId="9">
      <pivotArea dataOnly="0" labelOnly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8B20C-C88B-8942-A0FD-E43D86E6C069}" name="PivotTable7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numFmtId="14" showAll="0"/>
    <pivotField showAll="0"/>
    <pivotField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numFmtId="10" showAll="0"/>
    <pivotField numFmtId="10" showAll="0"/>
    <pivotField numFmtId="167" showAll="0"/>
    <pivotField numFmtId="167" showAll="0"/>
    <pivotField dataField="1" numFmtId="10" showAll="0"/>
  </pivotFields>
  <rowFields count="1">
    <field x="3"/>
  </rowFields>
  <rowItems count="6"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Average of ROI" fld="16" subtotal="average" baseField="0" baseItem="0" numFmtId="10"/>
  </dataFields>
  <formats count="4">
    <format dxfId="34">
      <pivotArea outline="0" collapsedLevelsAreSubtotals="1" fieldPosition="0"/>
    </format>
    <format dxfId="31">
      <pivotArea dataOnly="0" labelOnly="1" outline="0" axis="axisValues" fieldPosition="0"/>
    </format>
    <format dxfId="7">
      <pivotArea collapsedLevelsAreSubtotals="1" fieldPosition="0">
        <references count="1">
          <reference field="3" count="1">
            <x v="0"/>
          </reference>
        </references>
      </pivotArea>
    </format>
    <format dxfId="6">
      <pivotArea dataOnly="0" labelOnly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24CA1-41C0-2C42-AB5B-F78692A101AB}" name="PivotTable8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numFmtId="14" showAll="0"/>
    <pivotField showAll="0"/>
    <pivotField showAll="0"/>
    <pivotField showAll="0"/>
    <pivotField showAll="0"/>
    <pivotField axis="axisRow" showAll="0" sortType="descending">
      <items count="6">
        <item x="4"/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7" showAll="0"/>
    <pivotField numFmtId="167" showAll="0"/>
    <pivotField numFmtId="10" showAll="0"/>
    <pivotField numFmtId="10" showAll="0"/>
    <pivotField dataField="1" numFmtId="167" showAll="0"/>
    <pivotField numFmtId="167" showAll="0"/>
    <pivotField numFmtId="10" showAll="0"/>
  </pivotFields>
  <rowFields count="1">
    <field x="5"/>
  </rowFields>
  <rowItems count="6">
    <i>
      <x v="1"/>
    </i>
    <i>
      <x v="2"/>
    </i>
    <i>
      <x v="3"/>
    </i>
    <i>
      <x v="4"/>
    </i>
    <i>
      <x/>
    </i>
    <i t="grand">
      <x/>
    </i>
  </rowItems>
  <colItems count="1">
    <i/>
  </colItems>
  <dataFields count="1">
    <dataField name="Average of CPA" fld="14" subtotal="average" baseField="0" baseItem="0" numFmtId="167"/>
  </dataFields>
  <formats count="2">
    <format dxfId="5">
      <pivotArea collapsedLevelsAreSubtotals="1" fieldPosition="0">
        <references count="1">
          <reference field="5" count="1">
            <x v="1"/>
          </reference>
        </references>
      </pivotArea>
    </format>
    <format dxfId="4">
      <pivotArea dataOnly="0" labelOnly="1" fieldPosition="0">
        <references count="1">
          <reference field="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9ABC2-D8F2-2A41-B8ED-A55474727132}" name="PivotTable9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numFmtId="14" showAll="0"/>
    <pivotField showAll="0"/>
    <pivotField showAll="0"/>
    <pivotField showAll="0"/>
    <pivotField showAll="0"/>
    <pivotField axis="axisRow" showAll="0" sortType="descending">
      <items count="6">
        <item x="4"/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7" showAll="0"/>
    <pivotField numFmtId="167" showAll="0"/>
    <pivotField numFmtId="10" showAll="0"/>
    <pivotField numFmtId="10" showAll="0"/>
    <pivotField numFmtId="167" showAll="0"/>
    <pivotField dataField="1" numFmtId="167" showAll="0"/>
    <pivotField numFmtId="10" showAll="0"/>
  </pivotFields>
  <rowFields count="1">
    <field x="5"/>
  </rowFields>
  <rowItems count="6">
    <i>
      <x v="2"/>
    </i>
    <i>
      <x v="3"/>
    </i>
    <i>
      <x v="4"/>
    </i>
    <i>
      <x v="1"/>
    </i>
    <i>
      <x/>
    </i>
    <i t="grand">
      <x/>
    </i>
  </rowItems>
  <colItems count="1">
    <i/>
  </colItems>
  <dataFields count="1">
    <dataField name="Sum of Profit" fld="15" baseField="0" baseItem="0" numFmtId="167"/>
  </dataFields>
  <formats count="2">
    <format dxfId="3">
      <pivotArea collapsedLevelsAreSubtotals="1" fieldPosition="0">
        <references count="1">
          <reference field="5" count="1">
            <x v="2"/>
          </reference>
        </references>
      </pivotArea>
    </format>
    <format dxfId="2">
      <pivotArea dataOnly="0" labelOnly="1" fieldPosition="0">
        <references count="1">
          <reference field="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F4C66-A345-2E46-95D1-6301051CF4BC}" name="PivotTable10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/>
  <pivotFields count="17">
    <pivotField numFmtId="14"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67" showAll="0"/>
    <pivotField dataField="1" numFmtId="167" showAll="0"/>
    <pivotField numFmtId="10" showAll="0"/>
    <pivotField numFmtId="10" showAll="0"/>
    <pivotField numFmtId="167" showAll="0"/>
    <pivotField dataField="1" numFmtId="167" showAll="0"/>
    <pivotField dataField="1" numFmtId="10" showAll="0"/>
  </pivotFields>
  <rowFields count="1">
    <field x="4"/>
  </rowFields>
  <rowItems count="4">
    <i>
      <x v="2"/>
    </i>
    <i>
      <x v="1"/>
    </i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_CAD" fld="11" baseField="0" baseItem="0" numFmtId="167"/>
    <dataField name="Sum of Profit" fld="15" baseField="0" baseItem="0" numFmtId="167"/>
    <dataField name="Sum of Ad_Spend_CAD" fld="10" baseField="0" baseItem="0" numFmtId="167"/>
    <dataField name="Average of ROI" fld="16" subtotal="average" baseField="0" baseItem="0" numFmtId="10"/>
  </dataFields>
  <formats count="2">
    <format dxfId="1">
      <pivotArea collapsedLevelsAreSubtotals="1" fieldPosition="0">
        <references count="1">
          <reference field="4" count="1">
            <x v="2"/>
          </reference>
        </references>
      </pivotArea>
    </format>
    <format dxfId="0">
      <pivotArea dataOnly="0" labelOnly="1" fieldPosition="0">
        <references count="1">
          <reference field="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E2F26-6504-174F-B409-29E2CFFAC32A}" name="PivotTable1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4" firstHeaderRow="0" firstDataRow="1" firstDataCol="1"/>
  <pivotFields count="17">
    <pivotField numFmtId="14" showAll="0"/>
    <pivotField showAll="0" sortType="descending">
      <items count="1001">
        <item x="104"/>
        <item x="557"/>
        <item x="106"/>
        <item x="502"/>
        <item x="925"/>
        <item x="713"/>
        <item x="849"/>
        <item x="811"/>
        <item x="486"/>
        <item x="815"/>
        <item x="830"/>
        <item x="445"/>
        <item x="735"/>
        <item x="642"/>
        <item x="785"/>
        <item x="724"/>
        <item x="693"/>
        <item x="194"/>
        <item x="989"/>
        <item x="61"/>
        <item x="956"/>
        <item x="324"/>
        <item x="336"/>
        <item x="504"/>
        <item x="198"/>
        <item x="131"/>
        <item x="422"/>
        <item x="733"/>
        <item x="941"/>
        <item x="783"/>
        <item x="611"/>
        <item x="960"/>
        <item x="2"/>
        <item x="690"/>
        <item x="776"/>
        <item x="293"/>
        <item x="202"/>
        <item x="503"/>
        <item x="839"/>
        <item x="239"/>
        <item x="433"/>
        <item x="660"/>
        <item x="802"/>
        <item x="372"/>
        <item x="702"/>
        <item x="586"/>
        <item x="922"/>
        <item x="179"/>
        <item x="51"/>
        <item x="744"/>
        <item x="730"/>
        <item x="836"/>
        <item x="760"/>
        <item x="677"/>
        <item x="528"/>
        <item x="19"/>
        <item x="804"/>
        <item x="822"/>
        <item x="986"/>
        <item x="861"/>
        <item x="92"/>
        <item x="778"/>
        <item x="411"/>
        <item x="585"/>
        <item x="718"/>
        <item x="805"/>
        <item x="920"/>
        <item x="590"/>
        <item x="574"/>
        <item x="287"/>
        <item x="595"/>
        <item x="451"/>
        <item x="500"/>
        <item x="696"/>
        <item x="216"/>
        <item x="41"/>
        <item x="203"/>
        <item x="858"/>
        <item x="892"/>
        <item x="321"/>
        <item x="994"/>
        <item x="453"/>
        <item x="823"/>
        <item x="505"/>
        <item x="118"/>
        <item x="542"/>
        <item x="683"/>
        <item x="957"/>
        <item x="432"/>
        <item x="272"/>
        <item x="560"/>
        <item x="871"/>
        <item x="795"/>
        <item x="533"/>
        <item x="318"/>
        <item x="985"/>
        <item x="233"/>
        <item x="8"/>
        <item x="281"/>
        <item x="346"/>
        <item x="45"/>
        <item x="670"/>
        <item x="159"/>
        <item x="438"/>
        <item x="870"/>
        <item x="210"/>
        <item x="154"/>
        <item x="298"/>
        <item x="599"/>
        <item x="124"/>
        <item x="421"/>
        <item x="155"/>
        <item x="273"/>
        <item x="454"/>
        <item x="974"/>
        <item x="573"/>
        <item x="936"/>
        <item x="164"/>
        <item x="252"/>
        <item x="678"/>
        <item x="541"/>
        <item x="929"/>
        <item x="612"/>
        <item x="329"/>
        <item x="373"/>
        <item x="0"/>
        <item x="335"/>
        <item x="439"/>
        <item x="554"/>
        <item x="859"/>
        <item x="238"/>
        <item x="197"/>
        <item x="366"/>
        <item x="425"/>
        <item x="158"/>
        <item x="3"/>
        <item x="833"/>
        <item x="66"/>
        <item x="772"/>
        <item x="807"/>
        <item x="74"/>
        <item x="981"/>
        <item x="430"/>
        <item x="444"/>
        <item x="322"/>
        <item x="784"/>
        <item x="794"/>
        <item x="482"/>
        <item x="361"/>
        <item x="953"/>
        <item x="664"/>
        <item x="296"/>
        <item x="255"/>
        <item x="28"/>
        <item x="264"/>
        <item x="547"/>
        <item x="123"/>
        <item x="358"/>
        <item x="180"/>
        <item x="301"/>
        <item x="765"/>
        <item x="32"/>
        <item x="732"/>
        <item x="371"/>
        <item x="199"/>
        <item x="517"/>
        <item x="934"/>
        <item x="166"/>
        <item x="627"/>
        <item x="515"/>
        <item x="552"/>
        <item x="367"/>
        <item x="442"/>
        <item x="213"/>
        <item x="352"/>
        <item x="681"/>
        <item x="481"/>
        <item x="973"/>
        <item x="570"/>
        <item x="569"/>
        <item x="856"/>
        <item x="89"/>
        <item x="950"/>
        <item x="226"/>
        <item x="615"/>
        <item x="907"/>
        <item x="728"/>
        <item x="133"/>
        <item x="602"/>
        <item x="263"/>
        <item x="219"/>
        <item x="424"/>
        <item x="738"/>
        <item x="814"/>
        <item x="142"/>
        <item x="227"/>
        <item x="125"/>
        <item x="342"/>
        <item x="34"/>
        <item x="271"/>
        <item x="126"/>
        <item x="468"/>
        <item x="913"/>
        <item x="943"/>
        <item x="258"/>
        <item x="736"/>
        <item x="478"/>
        <item x="48"/>
        <item x="243"/>
        <item x="349"/>
        <item x="828"/>
        <item x="462"/>
        <item x="378"/>
        <item x="191"/>
        <item x="396"/>
        <item x="544"/>
        <item x="494"/>
        <item x="790"/>
        <item x="663"/>
        <item x="661"/>
        <item x="987"/>
        <item x="379"/>
        <item x="618"/>
        <item x="222"/>
        <item x="260"/>
        <item x="148"/>
        <item x="972"/>
        <item x="235"/>
        <item x="553"/>
        <item x="488"/>
        <item x="866"/>
        <item x="976"/>
        <item x="473"/>
        <item x="963"/>
        <item x="492"/>
        <item x="68"/>
        <item x="632"/>
        <item x="937"/>
        <item x="499"/>
        <item x="581"/>
        <item x="812"/>
        <item x="137"/>
        <item x="182"/>
        <item x="418"/>
        <item x="36"/>
        <item x="177"/>
        <item x="720"/>
        <item x="493"/>
        <item x="495"/>
        <item x="46"/>
        <item x="510"/>
        <item x="965"/>
        <item x="380"/>
        <item x="619"/>
        <item x="119"/>
        <item x="162"/>
        <item x="752"/>
        <item x="381"/>
        <item x="254"/>
        <item x="185"/>
        <item x="471"/>
        <item x="969"/>
        <item x="826"/>
        <item x="498"/>
        <item x="905"/>
        <item x="791"/>
        <item x="582"/>
        <item x="644"/>
        <item x="151"/>
        <item x="539"/>
        <item x="72"/>
        <item x="727"/>
        <item x="138"/>
        <item x="100"/>
        <item x="140"/>
        <item x="334"/>
        <item x="343"/>
        <item x="304"/>
        <item x="721"/>
        <item x="782"/>
        <item x="218"/>
        <item x="846"/>
        <item x="290"/>
        <item x="101"/>
        <item x="312"/>
        <item x="746"/>
        <item x="452"/>
        <item x="440"/>
        <item x="441"/>
        <item x="39"/>
        <item x="382"/>
        <item x="526"/>
        <item x="77"/>
        <item x="387"/>
        <item x="636"/>
        <item x="931"/>
        <item x="731"/>
        <item x="286"/>
        <item x="767"/>
        <item x="47"/>
        <item x="514"/>
        <item x="968"/>
        <item x="594"/>
        <item x="275"/>
        <item x="276"/>
        <item x="742"/>
        <item x="901"/>
        <item x="325"/>
        <item x="109"/>
        <item x="862"/>
        <item x="692"/>
        <item x="10"/>
        <item x="729"/>
        <item x="29"/>
        <item x="566"/>
        <item x="12"/>
        <item x="94"/>
        <item x="648"/>
        <item x="881"/>
        <item x="1"/>
        <item x="844"/>
        <item x="145"/>
        <item x="97"/>
        <item x="955"/>
        <item x="887"/>
        <item x="898"/>
        <item x="787"/>
        <item x="788"/>
        <item x="970"/>
        <item x="282"/>
        <item x="319"/>
        <item x="223"/>
        <item x="884"/>
        <item x="389"/>
        <item x="770"/>
        <item x="277"/>
        <item x="62"/>
        <item x="717"/>
        <item x="391"/>
        <item x="847"/>
        <item x="414"/>
        <item x="270"/>
        <item x="983"/>
        <item x="608"/>
        <item x="676"/>
        <item x="793"/>
        <item x="890"/>
        <item x="914"/>
        <item x="490"/>
        <item x="572"/>
        <item x="337"/>
        <item x="480"/>
        <item x="360"/>
        <item x="128"/>
        <item x="91"/>
        <item x="278"/>
        <item x="639"/>
        <item x="868"/>
        <item x="477"/>
        <item x="827"/>
        <item x="149"/>
        <item x="392"/>
        <item x="706"/>
        <item x="256"/>
        <item x="307"/>
        <item x="81"/>
        <item x="437"/>
        <item x="192"/>
        <item x="601"/>
        <item x="63"/>
        <item x="755"/>
        <item x="536"/>
        <item x="701"/>
        <item x="388"/>
        <item x="355"/>
        <item x="700"/>
        <item x="209"/>
        <item x="103"/>
        <item x="175"/>
        <item x="110"/>
        <item x="483"/>
        <item x="86"/>
        <item x="224"/>
        <item x="231"/>
        <item x="580"/>
        <item x="864"/>
        <item x="643"/>
        <item x="214"/>
        <item x="268"/>
        <item x="928"/>
        <item x="220"/>
        <item x="206"/>
        <item x="620"/>
        <item x="579"/>
        <item x="230"/>
        <item x="245"/>
        <item x="152"/>
        <item x="523"/>
        <item x="885"/>
        <item x="883"/>
        <item x="705"/>
        <item x="555"/>
        <item x="306"/>
        <item x="267"/>
        <item x="737"/>
        <item x="163"/>
        <item x="17"/>
        <item x="211"/>
        <item x="915"/>
        <item x="990"/>
        <item x="204"/>
        <item x="734"/>
        <item x="634"/>
        <item x="143"/>
        <item x="78"/>
        <item x="527"/>
        <item x="484"/>
        <item x="427"/>
        <item x="423"/>
        <item x="897"/>
        <item x="818"/>
        <item x="512"/>
        <item x="341"/>
        <item x="567"/>
        <item x="83"/>
        <item x="576"/>
        <item x="200"/>
        <item x="170"/>
        <item x="722"/>
        <item x="7"/>
        <item x="919"/>
        <item x="659"/>
        <item x="540"/>
        <item x="506"/>
        <item x="310"/>
        <item x="53"/>
        <item x="52"/>
        <item x="311"/>
        <item x="762"/>
        <item x="23"/>
        <item x="633"/>
        <item x="592"/>
        <item x="865"/>
        <item x="975"/>
        <item x="79"/>
        <item x="980"/>
        <item x="18"/>
        <item x="741"/>
        <item x="316"/>
        <item x="93"/>
        <item x="15"/>
        <item x="945"/>
        <item x="461"/>
        <item x="171"/>
        <item x="656"/>
        <item x="869"/>
        <item x="376"/>
        <item x="806"/>
        <item x="365"/>
        <item x="98"/>
        <item x="190"/>
        <item x="399"/>
        <item x="362"/>
        <item x="944"/>
        <item x="146"/>
        <item x="562"/>
        <item x="565"/>
        <item x="597"/>
        <item x="675"/>
        <item x="854"/>
        <item x="408"/>
        <item x="522"/>
        <item x="537"/>
        <item x="719"/>
        <item x="156"/>
        <item x="54"/>
        <item x="939"/>
        <item x="313"/>
        <item x="743"/>
        <item x="545"/>
        <item x="181"/>
        <item x="201"/>
        <item x="400"/>
        <item x="419"/>
        <item x="507"/>
        <item x="924"/>
        <item x="629"/>
        <item x="27"/>
        <item x="242"/>
        <item x="455"/>
        <item x="157"/>
        <item x="558"/>
        <item x="11"/>
        <item x="300"/>
        <item x="667"/>
        <item x="764"/>
        <item x="607"/>
        <item x="982"/>
        <item x="431"/>
        <item x="851"/>
        <item x="377"/>
        <item x="559"/>
        <item x="548"/>
        <item x="297"/>
        <item x="578"/>
        <item x="921"/>
        <item x="108"/>
        <item x="404"/>
        <item x="749"/>
        <item x="666"/>
        <item x="33"/>
        <item x="249"/>
        <item x="889"/>
        <item x="697"/>
        <item x="114"/>
        <item x="234"/>
        <item x="825"/>
        <item x="867"/>
        <item x="299"/>
        <item x="821"/>
        <item x="405"/>
        <item x="820"/>
        <item x="715"/>
        <item x="116"/>
        <item x="292"/>
        <item x="649"/>
        <item x="326"/>
        <item x="596"/>
        <item x="652"/>
        <item x="988"/>
        <item x="43"/>
        <item x="546"/>
        <item x="698"/>
        <item x="587"/>
        <item x="624"/>
        <item x="568"/>
        <item x="837"/>
        <item x="761"/>
        <item x="253"/>
        <item x="165"/>
        <item x="916"/>
        <item x="58"/>
        <item x="817"/>
        <item x="447"/>
        <item x="232"/>
        <item x="662"/>
        <item x="57"/>
        <item x="474"/>
        <item x="739"/>
        <item x="407"/>
        <item x="56"/>
        <item x="261"/>
        <item x="951"/>
        <item x="259"/>
        <item x="682"/>
        <item x="750"/>
        <item x="797"/>
        <item x="895"/>
        <item x="368"/>
        <item x="686"/>
        <item x="757"/>
        <item x="835"/>
        <item x="479"/>
        <item x="117"/>
        <item x="524"/>
        <item x="160"/>
        <item x="344"/>
        <item x="658"/>
        <item x="967"/>
        <item x="657"/>
        <item x="55"/>
        <item x="184"/>
        <item x="67"/>
        <item x="40"/>
        <item x="168"/>
        <item x="215"/>
        <item x="947"/>
        <item x="674"/>
        <item x="638"/>
        <item x="714"/>
        <item x="712"/>
        <item x="82"/>
        <item x="531"/>
        <item x="766"/>
        <item x="829"/>
        <item x="563"/>
        <item x="302"/>
        <item x="930"/>
        <item x="340"/>
        <item x="876"/>
        <item x="135"/>
        <item x="205"/>
        <item x="187"/>
        <item x="748"/>
        <item x="886"/>
        <item x="768"/>
        <item x="338"/>
        <item x="879"/>
        <item x="899"/>
        <item x="747"/>
        <item x="257"/>
        <item x="926"/>
        <item x="37"/>
        <item x="745"/>
        <item x="120"/>
        <item x="274"/>
        <item x="852"/>
        <item x="521"/>
        <item x="946"/>
        <item x="556"/>
        <item x="305"/>
        <item x="417"/>
        <item x="600"/>
        <item x="605"/>
        <item x="323"/>
        <item x="872"/>
        <item x="76"/>
        <item x="496"/>
        <item x="195"/>
        <item x="5"/>
        <item x="703"/>
        <item x="415"/>
        <item x="240"/>
        <item x="964"/>
        <item x="999"/>
        <item x="457"/>
        <item x="564"/>
        <item x="386"/>
        <item x="997"/>
        <item x="923"/>
        <item x="331"/>
        <item x="777"/>
        <item x="863"/>
        <item x="229"/>
        <item x="775"/>
        <item x="71"/>
        <item x="668"/>
        <item x="295"/>
        <item x="726"/>
        <item x="139"/>
        <item x="774"/>
        <item x="813"/>
        <item x="169"/>
        <item x="711"/>
        <item x="443"/>
        <item x="24"/>
        <item x="472"/>
        <item x="781"/>
        <item x="516"/>
        <item x="460"/>
        <item x="799"/>
        <item x="448"/>
        <item x="384"/>
        <item x="246"/>
        <item x="208"/>
        <item x="353"/>
        <item x="90"/>
        <item x="952"/>
        <item x="684"/>
        <item x="383"/>
        <item x="244"/>
        <item x="470"/>
        <item x="449"/>
        <item x="228"/>
        <item x="402"/>
        <item x="193"/>
        <item x="446"/>
        <item x="288"/>
        <item x="409"/>
        <item x="654"/>
        <item x="911"/>
        <item x="248"/>
        <item x="626"/>
        <item x="122"/>
        <item x="221"/>
        <item x="150"/>
        <item x="42"/>
        <item x="995"/>
        <item x="691"/>
        <item x="525"/>
        <item x="416"/>
        <item x="824"/>
        <item x="938"/>
        <item x="64"/>
        <item x="645"/>
        <item x="65"/>
        <item x="816"/>
        <item x="497"/>
        <item x="962"/>
        <item x="942"/>
        <item x="646"/>
        <item x="530"/>
        <item x="351"/>
        <item x="75"/>
        <item x="958"/>
        <item x="625"/>
        <item x="589"/>
        <item x="912"/>
        <item x="250"/>
        <item x="429"/>
        <item x="395"/>
        <item x="831"/>
        <item x="908"/>
        <item x="754"/>
        <item x="769"/>
        <item x="434"/>
        <item x="679"/>
        <item x="356"/>
        <item x="740"/>
        <item x="792"/>
        <item x="459"/>
        <item x="880"/>
        <item x="673"/>
        <item x="977"/>
        <item x="354"/>
        <item x="174"/>
        <item x="991"/>
        <item x="369"/>
        <item x="610"/>
        <item x="463"/>
        <item x="217"/>
        <item x="671"/>
        <item x="38"/>
        <item x="44"/>
        <item x="996"/>
        <item x="904"/>
        <item x="456"/>
        <item x="350"/>
        <item x="873"/>
        <item x="979"/>
        <item x="771"/>
        <item x="420"/>
        <item x="87"/>
        <item x="918"/>
        <item x="501"/>
        <item x="878"/>
        <item x="773"/>
        <item x="803"/>
        <item x="26"/>
        <item x="25"/>
        <item x="759"/>
        <item x="294"/>
        <item x="485"/>
        <item x="398"/>
        <item x="426"/>
        <item x="708"/>
        <item x="35"/>
        <item x="927"/>
        <item x="339"/>
        <item x="69"/>
        <item x="435"/>
        <item x="966"/>
        <item x="665"/>
        <item x="707"/>
        <item x="917"/>
        <item x="940"/>
        <item x="543"/>
        <item x="330"/>
        <item x="375"/>
        <item x="694"/>
        <item x="487"/>
        <item x="857"/>
        <item x="450"/>
        <item x="16"/>
        <item x="147"/>
        <item x="875"/>
        <item x="289"/>
        <item x="59"/>
        <item x="630"/>
        <item x="753"/>
        <item x="651"/>
        <item x="196"/>
        <item x="466"/>
        <item x="808"/>
        <item x="984"/>
        <item x="370"/>
        <item x="161"/>
        <item x="186"/>
        <item x="308"/>
        <item x="723"/>
        <item x="144"/>
        <item x="622"/>
        <item x="309"/>
        <item x="838"/>
        <item x="262"/>
        <item x="390"/>
        <item x="798"/>
        <item x="436"/>
        <item x="328"/>
        <item x="320"/>
        <item x="909"/>
        <item x="327"/>
        <item x="236"/>
        <item x="780"/>
        <item x="832"/>
        <item x="167"/>
        <item x="394"/>
        <item x="834"/>
        <item x="183"/>
        <item x="900"/>
        <item x="406"/>
        <item x="266"/>
        <item x="129"/>
        <item x="893"/>
        <item x="894"/>
        <item x="115"/>
        <item x="465"/>
        <item x="716"/>
        <item x="635"/>
        <item x="20"/>
        <item x="529"/>
        <item x="561"/>
        <item x="584"/>
        <item x="621"/>
        <item x="593"/>
        <item x="153"/>
        <item x="265"/>
        <item x="614"/>
        <item x="903"/>
        <item x="251"/>
        <item x="458"/>
        <item x="237"/>
        <item x="756"/>
        <item x="14"/>
        <item x="575"/>
        <item x="95"/>
        <item x="628"/>
        <item x="99"/>
        <item x="998"/>
        <item x="672"/>
        <item x="467"/>
        <item x="758"/>
        <item x="513"/>
        <item x="50"/>
        <item x="113"/>
        <item x="819"/>
        <item x="112"/>
        <item x="178"/>
        <item x="860"/>
        <item x="751"/>
        <item x="588"/>
        <item x="948"/>
        <item x="518"/>
        <item x="188"/>
        <item x="111"/>
        <item x="688"/>
        <item x="279"/>
        <item x="315"/>
        <item x="283"/>
        <item x="855"/>
        <item x="809"/>
        <item x="21"/>
        <item x="134"/>
        <item x="520"/>
        <item x="535"/>
        <item x="551"/>
        <item x="410"/>
        <item x="685"/>
        <item x="961"/>
        <item x="534"/>
        <item x="280"/>
        <item x="345"/>
        <item x="96"/>
        <item x="173"/>
        <item x="80"/>
        <item x="786"/>
        <item x="401"/>
        <item x="347"/>
        <item x="641"/>
        <item x="874"/>
        <item x="393"/>
        <item x="403"/>
        <item x="882"/>
        <item x="102"/>
        <item x="763"/>
        <item x="385"/>
        <item x="476"/>
        <item x="508"/>
        <item x="699"/>
        <item x="647"/>
        <item x="591"/>
        <item x="13"/>
        <item x="127"/>
        <item x="571"/>
        <item x="655"/>
        <item x="303"/>
        <item x="631"/>
        <item x="779"/>
        <item x="4"/>
        <item x="978"/>
        <item x="364"/>
        <item x="60"/>
        <item x="469"/>
        <item x="910"/>
        <item x="616"/>
        <item x="70"/>
        <item x="709"/>
        <item x="669"/>
        <item x="906"/>
        <item x="475"/>
        <item x="933"/>
        <item x="959"/>
        <item x="935"/>
        <item x="519"/>
        <item x="650"/>
        <item x="247"/>
        <item x="637"/>
        <item x="357"/>
        <item x="810"/>
        <item x="413"/>
        <item x="532"/>
        <item x="189"/>
        <item x="993"/>
        <item x="680"/>
        <item x="687"/>
        <item x="176"/>
        <item x="136"/>
        <item x="840"/>
        <item x="6"/>
        <item x="992"/>
        <item x="583"/>
        <item x="800"/>
        <item x="603"/>
        <item x="491"/>
        <item x="88"/>
        <item x="845"/>
        <item x="269"/>
        <item x="511"/>
        <item x="317"/>
        <item x="132"/>
        <item x="397"/>
        <item x="689"/>
        <item x="85"/>
        <item x="212"/>
        <item x="84"/>
        <item x="695"/>
        <item x="348"/>
        <item x="853"/>
        <item x="617"/>
        <item x="796"/>
        <item x="130"/>
        <item x="896"/>
        <item x="640"/>
        <item x="509"/>
        <item x="359"/>
        <item x="704"/>
        <item x="949"/>
        <item x="105"/>
        <item x="291"/>
        <item x="550"/>
        <item x="842"/>
        <item x="73"/>
        <item x="172"/>
        <item x="121"/>
        <item x="49"/>
        <item x="549"/>
        <item x="848"/>
        <item x="971"/>
        <item x="241"/>
        <item x="314"/>
        <item x="613"/>
        <item x="609"/>
        <item x="877"/>
        <item x="207"/>
        <item x="577"/>
        <item x="31"/>
        <item x="285"/>
        <item x="538"/>
        <item x="107"/>
        <item x="363"/>
        <item x="954"/>
        <item x="891"/>
        <item x="428"/>
        <item x="789"/>
        <item x="225"/>
        <item x="30"/>
        <item x="841"/>
        <item x="489"/>
        <item x="623"/>
        <item x="604"/>
        <item x="464"/>
        <item x="284"/>
        <item x="598"/>
        <item x="22"/>
        <item x="141"/>
        <item x="374"/>
        <item x="850"/>
        <item x="843"/>
        <item x="333"/>
        <item x="332"/>
        <item x="888"/>
        <item x="606"/>
        <item x="902"/>
        <item x="725"/>
        <item x="801"/>
        <item x="412"/>
        <item x="9"/>
        <item x="653"/>
        <item x="932"/>
        <item x="7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1">
        <item x="12"/>
        <item x="5"/>
        <item x="18"/>
        <item x="9"/>
        <item x="19"/>
        <item x="14"/>
        <item x="2"/>
        <item x="15"/>
        <item x="11"/>
        <item x="6"/>
        <item x="8"/>
        <item x="10"/>
        <item x="4"/>
        <item x="13"/>
        <item x="16"/>
        <item x="3"/>
        <item x="7"/>
        <item x="0"/>
        <item x="1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numFmtId="167" showAll="0"/>
    <pivotField dataField="1" numFmtId="167" showAll="0"/>
    <pivotField numFmtId="10" showAll="0"/>
    <pivotField numFmtId="10" showAll="0"/>
    <pivotField numFmtId="167" showAll="0"/>
    <pivotField dataField="1" numFmtId="167" showAll="0"/>
    <pivotField numFmtId="10" showAll="0"/>
  </pivotFields>
  <rowFields count="1">
    <field x="2"/>
  </rowFields>
  <rowItems count="21">
    <i>
      <x v="4"/>
    </i>
    <i>
      <x v="1"/>
    </i>
    <i>
      <x v="2"/>
    </i>
    <i>
      <x v="3"/>
    </i>
    <i>
      <x v="17"/>
    </i>
    <i>
      <x/>
    </i>
    <i>
      <x v="18"/>
    </i>
    <i>
      <x v="19"/>
    </i>
    <i>
      <x v="5"/>
    </i>
    <i>
      <x v="8"/>
    </i>
    <i>
      <x v="6"/>
    </i>
    <i>
      <x v="7"/>
    </i>
    <i>
      <x v="10"/>
    </i>
    <i>
      <x v="11"/>
    </i>
    <i>
      <x v="9"/>
    </i>
    <i>
      <x v="12"/>
    </i>
    <i>
      <x v="15"/>
    </i>
    <i>
      <x v="14"/>
    </i>
    <i>
      <x v="13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15" baseField="0" baseItem="0" numFmtId="167"/>
    <dataField name="Sum of Ad_Spend_CAD" fld="10" baseField="0" baseItem="0" numFmtId="167"/>
    <dataField name="Sum of Revenue_CAD" fld="11" baseField="0" baseItem="0" numFmtId="167"/>
  </dataFields>
  <formats count="13">
    <format dxfId="29">
      <pivotArea collapsedLevelsAreSubtotals="1" fieldPosition="0">
        <references count="1">
          <reference field="2" count="1">
            <x v="4"/>
          </reference>
        </references>
      </pivotArea>
    </format>
    <format dxfId="28">
      <pivotArea dataOnly="0" labelOnly="1" fieldPosition="0">
        <references count="1">
          <reference field="2" count="1">
            <x v="4"/>
          </reference>
        </references>
      </pivotArea>
    </format>
    <format dxfId="27">
      <pivotArea collapsedLevelsAreSubtotals="1" fieldPosition="0">
        <references count="1">
          <reference field="2" count="1">
            <x v="4"/>
          </reference>
        </references>
      </pivotArea>
    </format>
    <format dxfId="26">
      <pivotArea dataOnly="0" labelOnly="1" fieldPosition="0">
        <references count="1">
          <reference field="2" count="1">
            <x v="4"/>
          </reference>
        </references>
      </pivotArea>
    </format>
    <format dxfId="23">
      <pivotArea collapsedLevelsAreSubtotals="1" fieldPosition="0">
        <references count="1">
          <reference field="2" count="1">
            <x v="4"/>
          </reference>
        </references>
      </pivotArea>
    </format>
    <format dxfId="21">
      <pivotArea dataOnly="0" labelOnly="1" fieldPosition="0">
        <references count="1">
          <reference field="2" count="1">
            <x v="4"/>
          </reference>
        </references>
      </pivotArea>
    </format>
    <format dxfId="19">
      <pivotArea collapsedLevelsAreSubtotals="1" fieldPosition="0">
        <references count="1">
          <reference field="2" count="1">
            <x v="4"/>
          </reference>
        </references>
      </pivotArea>
    </format>
    <format dxfId="18">
      <pivotArea dataOnly="0" labelOnly="1" fieldPosition="0">
        <references count="1">
          <reference field="2" count="1">
            <x v="4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2"/>
          </reference>
          <reference field="2" count="1">
            <x v="2"/>
          </reference>
        </references>
      </pivotArea>
    </format>
    <format dxfId="15">
      <pivotArea collapsedLevelsAreSubtotals="1" fieldPosition="0">
        <references count="1">
          <reference field="2" count="1">
            <x v="4"/>
          </reference>
        </references>
      </pivotArea>
    </format>
    <format dxfId="14">
      <pivotArea dataOnly="0" labelOnly="1" fieldPosition="0">
        <references count="1">
          <reference field="2" count="1">
            <x v="4"/>
          </reference>
        </references>
      </pivotArea>
    </format>
    <format dxfId="13">
      <pivotArea collapsedLevelsAreSubtotals="1" fieldPosition="0">
        <references count="1">
          <reference field="2" count="1">
            <x v="4"/>
          </reference>
        </references>
      </pivotArea>
    </format>
    <format dxfId="12">
      <pivotArea dataOnly="0" labelOnly="1" fieldPosition="0">
        <references count="1">
          <reference field="2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5E447-8C4A-2547-AB33-28A22FC45882}" name="PivotTable1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0" firstDataRow="1" firstDataCol="1"/>
  <pivotFields count="17">
    <pivotField numFmtId="14" showAll="0"/>
    <pivotField showAll="0" measureFilter="1">
      <items count="1001">
        <item x="104"/>
        <item x="557"/>
        <item x="106"/>
        <item x="502"/>
        <item x="925"/>
        <item x="713"/>
        <item x="849"/>
        <item x="811"/>
        <item x="486"/>
        <item x="815"/>
        <item x="830"/>
        <item x="445"/>
        <item x="735"/>
        <item x="642"/>
        <item x="785"/>
        <item x="724"/>
        <item x="693"/>
        <item x="194"/>
        <item x="989"/>
        <item x="61"/>
        <item x="956"/>
        <item x="324"/>
        <item x="336"/>
        <item x="504"/>
        <item x="198"/>
        <item x="131"/>
        <item x="422"/>
        <item x="733"/>
        <item x="941"/>
        <item x="783"/>
        <item x="611"/>
        <item x="960"/>
        <item x="2"/>
        <item x="690"/>
        <item x="776"/>
        <item x="293"/>
        <item x="202"/>
        <item x="503"/>
        <item x="839"/>
        <item x="239"/>
        <item x="433"/>
        <item x="660"/>
        <item x="802"/>
        <item x="372"/>
        <item x="702"/>
        <item x="586"/>
        <item x="922"/>
        <item x="179"/>
        <item x="51"/>
        <item x="744"/>
        <item x="730"/>
        <item x="836"/>
        <item x="760"/>
        <item x="677"/>
        <item x="528"/>
        <item x="19"/>
        <item x="804"/>
        <item x="822"/>
        <item x="986"/>
        <item x="861"/>
        <item x="92"/>
        <item x="778"/>
        <item x="411"/>
        <item x="585"/>
        <item x="718"/>
        <item x="805"/>
        <item x="920"/>
        <item x="590"/>
        <item x="574"/>
        <item x="287"/>
        <item x="595"/>
        <item x="451"/>
        <item x="500"/>
        <item x="696"/>
        <item x="216"/>
        <item x="41"/>
        <item x="203"/>
        <item x="858"/>
        <item x="892"/>
        <item x="321"/>
        <item x="994"/>
        <item x="453"/>
        <item x="823"/>
        <item x="505"/>
        <item x="118"/>
        <item x="542"/>
        <item x="683"/>
        <item x="957"/>
        <item x="432"/>
        <item x="272"/>
        <item x="560"/>
        <item x="871"/>
        <item x="795"/>
        <item x="533"/>
        <item x="318"/>
        <item x="985"/>
        <item x="233"/>
        <item x="8"/>
        <item x="281"/>
        <item x="346"/>
        <item x="45"/>
        <item x="670"/>
        <item x="159"/>
        <item x="438"/>
        <item x="870"/>
        <item x="210"/>
        <item x="154"/>
        <item x="298"/>
        <item x="599"/>
        <item x="124"/>
        <item x="421"/>
        <item x="155"/>
        <item x="273"/>
        <item x="454"/>
        <item x="974"/>
        <item x="573"/>
        <item x="936"/>
        <item x="164"/>
        <item x="252"/>
        <item x="678"/>
        <item x="541"/>
        <item x="929"/>
        <item x="612"/>
        <item x="329"/>
        <item x="373"/>
        <item x="0"/>
        <item x="335"/>
        <item x="439"/>
        <item x="554"/>
        <item x="859"/>
        <item x="238"/>
        <item x="197"/>
        <item x="366"/>
        <item x="425"/>
        <item x="158"/>
        <item x="3"/>
        <item x="833"/>
        <item x="66"/>
        <item x="772"/>
        <item x="807"/>
        <item x="74"/>
        <item x="981"/>
        <item x="430"/>
        <item x="444"/>
        <item x="322"/>
        <item x="784"/>
        <item x="794"/>
        <item x="482"/>
        <item x="361"/>
        <item x="953"/>
        <item x="664"/>
        <item x="296"/>
        <item x="255"/>
        <item x="28"/>
        <item x="264"/>
        <item x="547"/>
        <item x="123"/>
        <item x="358"/>
        <item x="180"/>
        <item x="301"/>
        <item x="765"/>
        <item x="32"/>
        <item x="732"/>
        <item x="371"/>
        <item x="199"/>
        <item x="517"/>
        <item x="934"/>
        <item x="166"/>
        <item x="627"/>
        <item x="515"/>
        <item x="552"/>
        <item x="367"/>
        <item x="442"/>
        <item x="213"/>
        <item x="352"/>
        <item x="681"/>
        <item x="481"/>
        <item x="973"/>
        <item x="570"/>
        <item x="569"/>
        <item x="856"/>
        <item x="89"/>
        <item x="950"/>
        <item x="226"/>
        <item x="615"/>
        <item x="907"/>
        <item x="728"/>
        <item x="133"/>
        <item x="602"/>
        <item x="263"/>
        <item x="219"/>
        <item x="424"/>
        <item x="738"/>
        <item x="814"/>
        <item x="142"/>
        <item x="227"/>
        <item x="125"/>
        <item x="342"/>
        <item x="34"/>
        <item x="271"/>
        <item x="126"/>
        <item x="468"/>
        <item x="913"/>
        <item x="943"/>
        <item x="258"/>
        <item x="736"/>
        <item x="478"/>
        <item x="48"/>
        <item x="243"/>
        <item x="349"/>
        <item x="828"/>
        <item x="462"/>
        <item x="378"/>
        <item x="191"/>
        <item x="396"/>
        <item x="544"/>
        <item x="494"/>
        <item x="790"/>
        <item x="663"/>
        <item x="661"/>
        <item x="987"/>
        <item x="379"/>
        <item x="618"/>
        <item x="222"/>
        <item x="260"/>
        <item x="148"/>
        <item x="972"/>
        <item x="235"/>
        <item x="553"/>
        <item x="488"/>
        <item x="866"/>
        <item x="976"/>
        <item x="473"/>
        <item x="963"/>
        <item x="492"/>
        <item x="68"/>
        <item x="632"/>
        <item x="937"/>
        <item x="499"/>
        <item x="581"/>
        <item x="812"/>
        <item x="137"/>
        <item x="182"/>
        <item x="418"/>
        <item x="36"/>
        <item x="177"/>
        <item x="720"/>
        <item x="493"/>
        <item x="495"/>
        <item x="46"/>
        <item x="510"/>
        <item x="965"/>
        <item x="380"/>
        <item x="619"/>
        <item x="119"/>
        <item x="162"/>
        <item x="752"/>
        <item x="381"/>
        <item x="254"/>
        <item x="185"/>
        <item x="471"/>
        <item x="969"/>
        <item x="826"/>
        <item x="498"/>
        <item x="905"/>
        <item x="791"/>
        <item x="582"/>
        <item x="644"/>
        <item x="151"/>
        <item x="539"/>
        <item x="72"/>
        <item x="727"/>
        <item x="138"/>
        <item x="100"/>
        <item x="140"/>
        <item x="334"/>
        <item x="343"/>
        <item x="304"/>
        <item x="721"/>
        <item x="782"/>
        <item x="218"/>
        <item x="846"/>
        <item x="290"/>
        <item x="101"/>
        <item x="312"/>
        <item x="746"/>
        <item x="452"/>
        <item x="440"/>
        <item x="441"/>
        <item x="39"/>
        <item x="382"/>
        <item x="526"/>
        <item x="77"/>
        <item x="387"/>
        <item x="636"/>
        <item x="931"/>
        <item x="731"/>
        <item x="286"/>
        <item x="767"/>
        <item x="47"/>
        <item x="514"/>
        <item x="968"/>
        <item x="594"/>
        <item x="275"/>
        <item x="276"/>
        <item x="742"/>
        <item x="901"/>
        <item x="325"/>
        <item x="109"/>
        <item x="862"/>
        <item x="692"/>
        <item x="10"/>
        <item x="729"/>
        <item x="29"/>
        <item x="566"/>
        <item x="12"/>
        <item x="94"/>
        <item x="648"/>
        <item x="881"/>
        <item x="1"/>
        <item x="844"/>
        <item x="145"/>
        <item x="97"/>
        <item x="955"/>
        <item x="887"/>
        <item x="898"/>
        <item x="787"/>
        <item x="788"/>
        <item x="970"/>
        <item x="282"/>
        <item x="319"/>
        <item x="223"/>
        <item x="884"/>
        <item x="389"/>
        <item x="770"/>
        <item x="277"/>
        <item x="62"/>
        <item x="717"/>
        <item x="391"/>
        <item x="847"/>
        <item x="414"/>
        <item x="270"/>
        <item x="983"/>
        <item x="608"/>
        <item x="676"/>
        <item x="793"/>
        <item x="890"/>
        <item x="914"/>
        <item x="490"/>
        <item x="572"/>
        <item x="337"/>
        <item x="480"/>
        <item x="360"/>
        <item x="128"/>
        <item x="91"/>
        <item x="278"/>
        <item x="639"/>
        <item x="868"/>
        <item x="477"/>
        <item x="827"/>
        <item x="149"/>
        <item x="392"/>
        <item x="706"/>
        <item x="256"/>
        <item x="307"/>
        <item x="81"/>
        <item x="437"/>
        <item x="192"/>
        <item x="601"/>
        <item x="63"/>
        <item x="755"/>
        <item x="536"/>
        <item x="701"/>
        <item x="388"/>
        <item x="355"/>
        <item x="700"/>
        <item x="209"/>
        <item x="103"/>
        <item x="175"/>
        <item x="110"/>
        <item x="483"/>
        <item x="86"/>
        <item x="224"/>
        <item x="231"/>
        <item x="580"/>
        <item x="864"/>
        <item x="643"/>
        <item x="214"/>
        <item x="268"/>
        <item x="928"/>
        <item x="220"/>
        <item x="206"/>
        <item x="620"/>
        <item x="579"/>
        <item x="230"/>
        <item x="245"/>
        <item x="152"/>
        <item x="523"/>
        <item x="885"/>
        <item x="883"/>
        <item x="705"/>
        <item x="555"/>
        <item x="306"/>
        <item x="267"/>
        <item x="737"/>
        <item x="163"/>
        <item x="17"/>
        <item x="211"/>
        <item x="915"/>
        <item x="990"/>
        <item x="204"/>
        <item x="734"/>
        <item x="634"/>
        <item x="143"/>
        <item x="78"/>
        <item x="527"/>
        <item x="484"/>
        <item x="427"/>
        <item x="423"/>
        <item x="897"/>
        <item x="818"/>
        <item x="512"/>
        <item x="341"/>
        <item x="567"/>
        <item x="83"/>
        <item x="576"/>
        <item x="200"/>
        <item x="170"/>
        <item x="722"/>
        <item x="7"/>
        <item x="919"/>
        <item x="659"/>
        <item x="540"/>
        <item x="506"/>
        <item x="310"/>
        <item x="53"/>
        <item x="52"/>
        <item x="311"/>
        <item x="762"/>
        <item x="23"/>
        <item x="633"/>
        <item x="592"/>
        <item x="865"/>
        <item x="975"/>
        <item x="79"/>
        <item x="980"/>
        <item x="18"/>
        <item x="741"/>
        <item x="316"/>
        <item x="93"/>
        <item x="15"/>
        <item x="945"/>
        <item x="461"/>
        <item x="171"/>
        <item x="656"/>
        <item x="869"/>
        <item x="376"/>
        <item x="806"/>
        <item x="365"/>
        <item x="98"/>
        <item x="190"/>
        <item x="399"/>
        <item x="362"/>
        <item x="944"/>
        <item x="146"/>
        <item x="562"/>
        <item x="565"/>
        <item x="597"/>
        <item x="675"/>
        <item x="854"/>
        <item x="408"/>
        <item x="522"/>
        <item x="537"/>
        <item x="719"/>
        <item x="156"/>
        <item x="54"/>
        <item x="939"/>
        <item x="313"/>
        <item x="743"/>
        <item x="545"/>
        <item x="181"/>
        <item x="201"/>
        <item x="400"/>
        <item x="419"/>
        <item x="507"/>
        <item x="924"/>
        <item x="629"/>
        <item x="27"/>
        <item x="242"/>
        <item x="455"/>
        <item x="157"/>
        <item x="558"/>
        <item x="11"/>
        <item x="300"/>
        <item x="667"/>
        <item x="764"/>
        <item x="607"/>
        <item x="982"/>
        <item x="431"/>
        <item x="851"/>
        <item x="377"/>
        <item x="559"/>
        <item x="548"/>
        <item x="297"/>
        <item x="578"/>
        <item x="921"/>
        <item x="108"/>
        <item x="404"/>
        <item x="749"/>
        <item x="666"/>
        <item x="33"/>
        <item x="249"/>
        <item x="889"/>
        <item x="697"/>
        <item x="114"/>
        <item x="234"/>
        <item x="825"/>
        <item x="867"/>
        <item x="299"/>
        <item x="821"/>
        <item x="405"/>
        <item x="820"/>
        <item x="715"/>
        <item x="116"/>
        <item x="292"/>
        <item x="649"/>
        <item x="326"/>
        <item x="596"/>
        <item x="652"/>
        <item x="988"/>
        <item x="43"/>
        <item x="546"/>
        <item x="698"/>
        <item x="587"/>
        <item x="624"/>
        <item x="568"/>
        <item x="837"/>
        <item x="761"/>
        <item x="253"/>
        <item x="165"/>
        <item x="916"/>
        <item x="58"/>
        <item x="817"/>
        <item x="447"/>
        <item x="232"/>
        <item x="662"/>
        <item x="57"/>
        <item x="474"/>
        <item x="739"/>
        <item x="407"/>
        <item x="56"/>
        <item x="261"/>
        <item x="951"/>
        <item x="259"/>
        <item x="682"/>
        <item x="750"/>
        <item x="797"/>
        <item x="895"/>
        <item x="368"/>
        <item x="686"/>
        <item x="757"/>
        <item x="835"/>
        <item x="479"/>
        <item x="117"/>
        <item x="524"/>
        <item x="160"/>
        <item x="344"/>
        <item x="658"/>
        <item x="967"/>
        <item x="657"/>
        <item x="55"/>
        <item x="184"/>
        <item x="67"/>
        <item x="40"/>
        <item x="168"/>
        <item x="215"/>
        <item x="947"/>
        <item x="674"/>
        <item x="638"/>
        <item x="714"/>
        <item x="712"/>
        <item x="82"/>
        <item x="531"/>
        <item x="766"/>
        <item x="829"/>
        <item x="563"/>
        <item x="302"/>
        <item x="930"/>
        <item x="340"/>
        <item x="876"/>
        <item x="135"/>
        <item x="205"/>
        <item x="187"/>
        <item x="748"/>
        <item x="886"/>
        <item x="768"/>
        <item x="338"/>
        <item x="879"/>
        <item x="899"/>
        <item x="747"/>
        <item x="257"/>
        <item x="926"/>
        <item x="37"/>
        <item x="745"/>
        <item x="120"/>
        <item x="274"/>
        <item x="852"/>
        <item x="521"/>
        <item x="946"/>
        <item x="556"/>
        <item x="305"/>
        <item x="417"/>
        <item x="600"/>
        <item x="605"/>
        <item x="323"/>
        <item x="872"/>
        <item x="76"/>
        <item x="496"/>
        <item x="195"/>
        <item x="5"/>
        <item x="703"/>
        <item x="415"/>
        <item x="240"/>
        <item x="964"/>
        <item x="999"/>
        <item x="457"/>
        <item x="564"/>
        <item x="386"/>
        <item x="997"/>
        <item x="923"/>
        <item x="331"/>
        <item x="777"/>
        <item x="863"/>
        <item x="229"/>
        <item x="775"/>
        <item x="71"/>
        <item x="668"/>
        <item x="295"/>
        <item x="726"/>
        <item x="139"/>
        <item x="774"/>
        <item x="813"/>
        <item x="169"/>
        <item x="711"/>
        <item x="443"/>
        <item x="24"/>
        <item x="472"/>
        <item x="781"/>
        <item x="516"/>
        <item x="460"/>
        <item x="799"/>
        <item x="448"/>
        <item x="384"/>
        <item x="246"/>
        <item x="208"/>
        <item x="353"/>
        <item x="90"/>
        <item x="952"/>
        <item x="684"/>
        <item x="383"/>
        <item x="244"/>
        <item x="470"/>
        <item x="449"/>
        <item x="228"/>
        <item x="402"/>
        <item x="193"/>
        <item x="446"/>
        <item x="288"/>
        <item x="409"/>
        <item x="654"/>
        <item x="911"/>
        <item x="248"/>
        <item x="626"/>
        <item x="122"/>
        <item x="221"/>
        <item x="150"/>
        <item x="42"/>
        <item x="995"/>
        <item x="691"/>
        <item x="525"/>
        <item x="416"/>
        <item x="824"/>
        <item x="938"/>
        <item x="64"/>
        <item x="645"/>
        <item x="65"/>
        <item x="816"/>
        <item x="497"/>
        <item x="962"/>
        <item x="942"/>
        <item x="646"/>
        <item x="530"/>
        <item x="351"/>
        <item x="75"/>
        <item x="958"/>
        <item x="625"/>
        <item x="589"/>
        <item x="912"/>
        <item x="250"/>
        <item x="429"/>
        <item x="395"/>
        <item x="831"/>
        <item x="908"/>
        <item x="754"/>
        <item x="769"/>
        <item x="434"/>
        <item x="679"/>
        <item x="356"/>
        <item x="740"/>
        <item x="792"/>
        <item x="459"/>
        <item x="880"/>
        <item x="673"/>
        <item x="977"/>
        <item x="354"/>
        <item x="174"/>
        <item x="991"/>
        <item x="369"/>
        <item x="610"/>
        <item x="463"/>
        <item x="217"/>
        <item x="671"/>
        <item x="38"/>
        <item x="44"/>
        <item x="996"/>
        <item x="904"/>
        <item x="456"/>
        <item x="350"/>
        <item x="873"/>
        <item x="979"/>
        <item x="771"/>
        <item x="420"/>
        <item x="87"/>
        <item x="918"/>
        <item x="501"/>
        <item x="878"/>
        <item x="773"/>
        <item x="803"/>
        <item x="26"/>
        <item x="25"/>
        <item x="759"/>
        <item x="294"/>
        <item x="485"/>
        <item x="398"/>
        <item x="426"/>
        <item x="708"/>
        <item x="35"/>
        <item x="927"/>
        <item x="339"/>
        <item x="69"/>
        <item x="435"/>
        <item x="966"/>
        <item x="665"/>
        <item x="707"/>
        <item x="917"/>
        <item x="940"/>
        <item x="543"/>
        <item x="330"/>
        <item x="375"/>
        <item x="694"/>
        <item x="487"/>
        <item x="857"/>
        <item x="450"/>
        <item x="16"/>
        <item x="147"/>
        <item x="875"/>
        <item x="289"/>
        <item x="59"/>
        <item x="630"/>
        <item x="753"/>
        <item x="651"/>
        <item x="196"/>
        <item x="466"/>
        <item x="808"/>
        <item x="984"/>
        <item x="370"/>
        <item x="161"/>
        <item x="186"/>
        <item x="308"/>
        <item x="723"/>
        <item x="144"/>
        <item x="622"/>
        <item x="309"/>
        <item x="838"/>
        <item x="262"/>
        <item x="390"/>
        <item x="798"/>
        <item x="436"/>
        <item x="328"/>
        <item x="320"/>
        <item x="909"/>
        <item x="327"/>
        <item x="236"/>
        <item x="780"/>
        <item x="832"/>
        <item x="167"/>
        <item x="394"/>
        <item x="834"/>
        <item x="183"/>
        <item x="900"/>
        <item x="406"/>
        <item x="266"/>
        <item x="129"/>
        <item x="893"/>
        <item x="894"/>
        <item x="115"/>
        <item x="465"/>
        <item x="716"/>
        <item x="635"/>
        <item x="20"/>
        <item x="529"/>
        <item x="561"/>
        <item x="584"/>
        <item x="621"/>
        <item x="593"/>
        <item x="153"/>
        <item x="265"/>
        <item x="614"/>
        <item x="903"/>
        <item x="251"/>
        <item x="458"/>
        <item x="237"/>
        <item x="756"/>
        <item x="14"/>
        <item x="575"/>
        <item x="95"/>
        <item x="628"/>
        <item x="99"/>
        <item x="998"/>
        <item x="672"/>
        <item x="467"/>
        <item x="758"/>
        <item x="513"/>
        <item x="50"/>
        <item x="113"/>
        <item x="819"/>
        <item x="112"/>
        <item x="178"/>
        <item x="860"/>
        <item x="751"/>
        <item x="588"/>
        <item x="948"/>
        <item x="518"/>
        <item x="188"/>
        <item x="111"/>
        <item x="688"/>
        <item x="279"/>
        <item x="315"/>
        <item x="283"/>
        <item x="855"/>
        <item x="809"/>
        <item x="21"/>
        <item x="134"/>
        <item x="520"/>
        <item x="535"/>
        <item x="551"/>
        <item x="410"/>
        <item x="685"/>
        <item x="961"/>
        <item x="534"/>
        <item x="280"/>
        <item x="345"/>
        <item x="96"/>
        <item x="173"/>
        <item x="80"/>
        <item x="786"/>
        <item x="401"/>
        <item x="347"/>
        <item x="641"/>
        <item x="874"/>
        <item x="393"/>
        <item x="403"/>
        <item x="882"/>
        <item x="102"/>
        <item x="763"/>
        <item x="385"/>
        <item x="476"/>
        <item x="508"/>
        <item x="699"/>
        <item x="647"/>
        <item x="591"/>
        <item x="13"/>
        <item x="127"/>
        <item x="571"/>
        <item x="655"/>
        <item x="303"/>
        <item x="631"/>
        <item x="779"/>
        <item x="4"/>
        <item x="978"/>
        <item x="364"/>
        <item x="60"/>
        <item x="469"/>
        <item x="910"/>
        <item x="616"/>
        <item x="70"/>
        <item x="709"/>
        <item x="669"/>
        <item x="906"/>
        <item x="475"/>
        <item x="933"/>
        <item x="959"/>
        <item x="935"/>
        <item x="519"/>
        <item x="650"/>
        <item x="247"/>
        <item x="637"/>
        <item x="357"/>
        <item x="810"/>
        <item x="413"/>
        <item x="532"/>
        <item x="189"/>
        <item x="993"/>
        <item x="680"/>
        <item x="687"/>
        <item x="176"/>
        <item x="136"/>
        <item x="840"/>
        <item x="6"/>
        <item x="992"/>
        <item x="583"/>
        <item x="800"/>
        <item x="603"/>
        <item x="491"/>
        <item x="88"/>
        <item x="845"/>
        <item x="269"/>
        <item x="511"/>
        <item x="317"/>
        <item x="132"/>
        <item x="397"/>
        <item x="689"/>
        <item x="85"/>
        <item x="212"/>
        <item x="84"/>
        <item x="695"/>
        <item x="348"/>
        <item x="853"/>
        <item x="617"/>
        <item x="796"/>
        <item x="130"/>
        <item x="896"/>
        <item x="640"/>
        <item x="509"/>
        <item x="359"/>
        <item x="704"/>
        <item x="949"/>
        <item x="105"/>
        <item x="291"/>
        <item x="550"/>
        <item x="842"/>
        <item x="73"/>
        <item x="172"/>
        <item x="121"/>
        <item x="49"/>
        <item x="549"/>
        <item x="848"/>
        <item x="971"/>
        <item x="241"/>
        <item x="314"/>
        <item x="613"/>
        <item x="609"/>
        <item x="877"/>
        <item x="207"/>
        <item x="577"/>
        <item x="31"/>
        <item x="285"/>
        <item x="538"/>
        <item x="107"/>
        <item x="363"/>
        <item x="954"/>
        <item x="891"/>
        <item x="428"/>
        <item x="789"/>
        <item x="225"/>
        <item x="30"/>
        <item x="841"/>
        <item x="489"/>
        <item x="623"/>
        <item x="604"/>
        <item x="464"/>
        <item x="284"/>
        <item x="598"/>
        <item x="22"/>
        <item x="141"/>
        <item x="374"/>
        <item x="850"/>
        <item x="843"/>
        <item x="333"/>
        <item x="332"/>
        <item x="888"/>
        <item x="606"/>
        <item x="902"/>
        <item x="725"/>
        <item x="801"/>
        <item x="412"/>
        <item x="9"/>
        <item x="653"/>
        <item x="932"/>
        <item x="710"/>
        <item t="default"/>
      </items>
    </pivotField>
    <pivotField axis="axisRow" showAll="0" measureFilter="1" sortType="descending">
      <items count="21">
        <item x="12"/>
        <item x="5"/>
        <item x="18"/>
        <item x="9"/>
        <item x="19"/>
        <item x="14"/>
        <item x="2"/>
        <item x="15"/>
        <item x="11"/>
        <item x="6"/>
        <item x="8"/>
        <item x="10"/>
        <item x="4"/>
        <item x="13"/>
        <item x="16"/>
        <item x="3"/>
        <item x="7"/>
        <item x="0"/>
        <item x="1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numFmtId="167" showAll="0"/>
    <pivotField dataField="1" numFmtId="167" showAll="0"/>
    <pivotField numFmtId="10" showAll="0"/>
    <pivotField numFmtId="10" showAll="0"/>
    <pivotField numFmtId="167" showAll="0"/>
    <pivotField numFmtId="167" showAll="0"/>
    <pivotField dataField="1" numFmtId="10" showAll="0"/>
  </pivotFields>
  <rowFields count="1">
    <field x="2"/>
  </rowFields>
  <rowItems count="9">
    <i>
      <x v="9"/>
    </i>
    <i>
      <x v="11"/>
    </i>
    <i>
      <x v="12"/>
    </i>
    <i>
      <x v="10"/>
    </i>
    <i>
      <x v="15"/>
    </i>
    <i>
      <x v="14"/>
    </i>
    <i>
      <x v="13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OI" fld="16" subtotal="average" baseField="0" baseItem="0" numFmtId="10"/>
    <dataField name="Sum of Revenue_CAD" fld="11" baseField="0" baseItem="0" numFmtId="167"/>
    <dataField name="Sum of Ad_Spend_CAD" fld="10" baseField="0" baseItem="0" numFmtId="167"/>
  </dataFields>
  <pivotTableStyleInfo name="PivotStyleLight16" showRowHeaders="1" showColHeaders="1" showRowStripes="0" showColStripes="0" showLastColumn="1"/>
  <filters count="2">
    <filter fld="1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  <filter fld="2" type="valueLessThan" evalOrder="-1" id="2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8B88-ED54-104A-827A-D07F13563275}">
  <dimension ref="A3:E9"/>
  <sheetViews>
    <sheetView workbookViewId="0">
      <selection activeCell="F9" sqref="F9"/>
    </sheetView>
  </sheetViews>
  <sheetFormatPr baseColWidth="10" defaultRowHeight="16" x14ac:dyDescent="0.2"/>
  <cols>
    <col min="1" max="1" width="13" bestFit="1" customWidth="1"/>
    <col min="2" max="2" width="19" bestFit="1" customWidth="1"/>
    <col min="3" max="3" width="20" bestFit="1" customWidth="1"/>
    <col min="4" max="4" width="12.6640625" bestFit="1" customWidth="1"/>
    <col min="5" max="5" width="11.1640625" bestFit="1" customWidth="1"/>
  </cols>
  <sheetData>
    <row r="3" spans="1:5" x14ac:dyDescent="0.2">
      <c r="A3" s="5" t="s">
        <v>1053</v>
      </c>
      <c r="B3" t="s">
        <v>1055</v>
      </c>
      <c r="C3" t="s">
        <v>1060</v>
      </c>
      <c r="D3" t="s">
        <v>1057</v>
      </c>
      <c r="E3" t="s">
        <v>1056</v>
      </c>
    </row>
    <row r="4" spans="1:5" s="27" customFormat="1" x14ac:dyDescent="0.2">
      <c r="A4" s="24" t="s">
        <v>24</v>
      </c>
      <c r="B4" s="25">
        <v>990256.2999999997</v>
      </c>
      <c r="C4" s="25">
        <v>21086.36</v>
      </c>
      <c r="D4" s="25">
        <v>969169.94000000006</v>
      </c>
      <c r="E4" s="26">
        <v>8429.1472790539829</v>
      </c>
    </row>
    <row r="5" spans="1:5" x14ac:dyDescent="0.2">
      <c r="A5" s="6" t="s">
        <v>14</v>
      </c>
      <c r="B5" s="14">
        <v>352770.57999999973</v>
      </c>
      <c r="C5" s="14">
        <v>199043.32999999996</v>
      </c>
      <c r="D5" s="14">
        <v>153727.25000000003</v>
      </c>
      <c r="E5" s="19">
        <v>134.09868726782335</v>
      </c>
    </row>
    <row r="6" spans="1:5" x14ac:dyDescent="0.2">
      <c r="A6" s="6" t="s">
        <v>46</v>
      </c>
      <c r="B6" s="14">
        <v>196960.21999999997</v>
      </c>
      <c r="C6" s="14">
        <v>133458.36000000004</v>
      </c>
      <c r="D6" s="14">
        <v>63501.859999999964</v>
      </c>
      <c r="E6" s="19">
        <v>102.69058303545104</v>
      </c>
    </row>
    <row r="7" spans="1:5" x14ac:dyDescent="0.2">
      <c r="A7" s="6" t="s">
        <v>37</v>
      </c>
      <c r="B7" s="14">
        <v>95919.900000000023</v>
      </c>
      <c r="C7" s="14">
        <v>211060.47999999989</v>
      </c>
      <c r="D7" s="14">
        <v>-115140.58</v>
      </c>
      <c r="E7" s="19">
        <v>-112.64547748389832</v>
      </c>
    </row>
    <row r="8" spans="1:5" x14ac:dyDescent="0.2">
      <c r="A8" s="6" t="s">
        <v>28</v>
      </c>
      <c r="B8" s="14">
        <v>93958.239999999976</v>
      </c>
      <c r="C8" s="14">
        <v>129982.64000000003</v>
      </c>
      <c r="D8" s="14">
        <v>-36024.399999999972</v>
      </c>
      <c r="E8" s="19">
        <v>-58.488402308767185</v>
      </c>
    </row>
    <row r="9" spans="1:5" x14ac:dyDescent="0.2">
      <c r="A9" s="6" t="s">
        <v>1054</v>
      </c>
      <c r="B9" s="14">
        <v>1729865.2399999993</v>
      </c>
      <c r="C9" s="14">
        <v>694631.16999999993</v>
      </c>
      <c r="D9" s="14">
        <v>1035234.0700000002</v>
      </c>
      <c r="E9" s="19">
        <v>8494.8026695645931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0863-275B-704E-A4C3-4851ED72BFAE}">
  <dimension ref="A3:B9"/>
  <sheetViews>
    <sheetView workbookViewId="0">
      <selection activeCell="D15" sqref="D15"/>
    </sheetView>
  </sheetViews>
  <sheetFormatPr baseColWidth="10" defaultRowHeight="16" x14ac:dyDescent="0.2"/>
  <cols>
    <col min="1" max="1" width="13" bestFit="1" customWidth="1"/>
    <col min="2" max="2" width="13.1640625" style="19" bestFit="1" customWidth="1"/>
  </cols>
  <sheetData>
    <row r="3" spans="1:2" x14ac:dyDescent="0.2">
      <c r="A3" s="5" t="s">
        <v>1053</v>
      </c>
      <c r="B3" s="19" t="s">
        <v>1058</v>
      </c>
    </row>
    <row r="4" spans="1:2" s="27" customFormat="1" x14ac:dyDescent="0.2">
      <c r="A4" s="24" t="s">
        <v>24</v>
      </c>
      <c r="B4" s="26">
        <v>45.810583038336866</v>
      </c>
    </row>
    <row r="5" spans="1:2" x14ac:dyDescent="0.2">
      <c r="A5" s="6" t="s">
        <v>14</v>
      </c>
      <c r="B5" s="19">
        <v>0.71329088972246468</v>
      </c>
    </row>
    <row r="6" spans="1:2" x14ac:dyDescent="0.2">
      <c r="A6" s="6" t="s">
        <v>46</v>
      </c>
      <c r="B6" s="19">
        <v>0.48900277635929068</v>
      </c>
    </row>
    <row r="7" spans="1:2" x14ac:dyDescent="0.2">
      <c r="A7" s="6" t="s">
        <v>28</v>
      </c>
      <c r="B7" s="19">
        <v>-0.28119424186907299</v>
      </c>
    </row>
    <row r="8" spans="1:2" x14ac:dyDescent="0.2">
      <c r="A8" s="6" t="s">
        <v>37</v>
      </c>
      <c r="B8" s="19">
        <v>-0.53640703563761105</v>
      </c>
    </row>
    <row r="9" spans="1:2" x14ac:dyDescent="0.2">
      <c r="A9" s="6" t="s">
        <v>1054</v>
      </c>
      <c r="B9" s="19">
        <v>8.4948026695646064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EE71-0B99-574D-A2BB-FBBBB88AF69E}">
  <dimension ref="A3:B9"/>
  <sheetViews>
    <sheetView topLeftCell="A2" workbookViewId="0">
      <selection activeCell="D31" sqref="D31"/>
    </sheetView>
  </sheetViews>
  <sheetFormatPr baseColWidth="10" defaultRowHeight="16" x14ac:dyDescent="0.2"/>
  <cols>
    <col min="1" max="1" width="13" bestFit="1" customWidth="1"/>
    <col min="2" max="2" width="13.83203125" bestFit="1" customWidth="1"/>
    <col min="3" max="3" width="19" bestFit="1" customWidth="1"/>
  </cols>
  <sheetData>
    <row r="3" spans="1:2" x14ac:dyDescent="0.2">
      <c r="A3" s="5" t="s">
        <v>1053</v>
      </c>
      <c r="B3" t="s">
        <v>1059</v>
      </c>
    </row>
    <row r="4" spans="1:2" s="27" customFormat="1" x14ac:dyDescent="0.2">
      <c r="A4" s="24" t="s">
        <v>47</v>
      </c>
      <c r="B4" s="25">
        <v>146.18862309026559</v>
      </c>
    </row>
    <row r="5" spans="1:2" x14ac:dyDescent="0.2">
      <c r="A5" s="6" t="s">
        <v>50</v>
      </c>
      <c r="B5" s="14">
        <v>135.77775897578701</v>
      </c>
    </row>
    <row r="6" spans="1:2" x14ac:dyDescent="0.2">
      <c r="A6" s="6" t="s">
        <v>34</v>
      </c>
      <c r="B6" s="14">
        <v>129.22711103790868</v>
      </c>
    </row>
    <row r="7" spans="1:2" x14ac:dyDescent="0.2">
      <c r="A7" s="6" t="s">
        <v>29</v>
      </c>
      <c r="B7" s="14">
        <v>123.78748864715328</v>
      </c>
    </row>
    <row r="8" spans="1:2" x14ac:dyDescent="0.2">
      <c r="A8" s="6" t="s">
        <v>16</v>
      </c>
      <c r="B8" s="14">
        <v>117.56716804787848</v>
      </c>
    </row>
    <row r="9" spans="1:2" x14ac:dyDescent="0.2">
      <c r="A9" s="6" t="s">
        <v>1054</v>
      </c>
      <c r="B9" s="14">
        <v>130.94586036028429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B819-9C93-4F4B-A195-DAA1B44B689A}">
  <dimension ref="A3:B9"/>
  <sheetViews>
    <sheetView workbookViewId="0">
      <selection activeCell="F15" sqref="F15"/>
    </sheetView>
  </sheetViews>
  <sheetFormatPr baseColWidth="10" defaultRowHeight="16" x14ac:dyDescent="0.2"/>
  <cols>
    <col min="1" max="1" width="13" bestFit="1" customWidth="1"/>
    <col min="2" max="2" width="12.6640625" bestFit="1" customWidth="1"/>
  </cols>
  <sheetData>
    <row r="3" spans="1:2" x14ac:dyDescent="0.2">
      <c r="A3" s="5" t="s">
        <v>1053</v>
      </c>
      <c r="B3" t="s">
        <v>1057</v>
      </c>
    </row>
    <row r="4" spans="1:2" s="27" customFormat="1" x14ac:dyDescent="0.2">
      <c r="A4" s="24" t="s">
        <v>50</v>
      </c>
      <c r="B4" s="25">
        <v>255513.87999999998</v>
      </c>
    </row>
    <row r="5" spans="1:2" x14ac:dyDescent="0.2">
      <c r="A5" s="6" t="s">
        <v>34</v>
      </c>
      <c r="B5" s="14">
        <v>226761.77</v>
      </c>
    </row>
    <row r="6" spans="1:2" x14ac:dyDescent="0.2">
      <c r="A6" s="6" t="s">
        <v>29</v>
      </c>
      <c r="B6" s="14">
        <v>203281.32</v>
      </c>
    </row>
    <row r="7" spans="1:2" x14ac:dyDescent="0.2">
      <c r="A7" s="6" t="s">
        <v>47</v>
      </c>
      <c r="B7" s="14">
        <v>196485.53999999983</v>
      </c>
    </row>
    <row r="8" spans="1:2" x14ac:dyDescent="0.2">
      <c r="A8" s="6" t="s">
        <v>16</v>
      </c>
      <c r="B8" s="14">
        <v>153191.56000000003</v>
      </c>
    </row>
    <row r="9" spans="1:2" x14ac:dyDescent="0.2">
      <c r="A9" s="6" t="s">
        <v>1054</v>
      </c>
      <c r="B9" s="14">
        <v>1035234.0699999998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27EC-C108-4C4F-A6A2-873CC86DECA5}">
  <dimension ref="A3:E7"/>
  <sheetViews>
    <sheetView workbookViewId="0">
      <selection activeCell="C15" sqref="C15"/>
    </sheetView>
  </sheetViews>
  <sheetFormatPr baseColWidth="10" defaultRowHeight="16" x14ac:dyDescent="0.2"/>
  <cols>
    <col min="1" max="1" width="15" bestFit="1" customWidth="1"/>
    <col min="2" max="2" width="19" bestFit="1" customWidth="1"/>
    <col min="3" max="3" width="12.6640625" bestFit="1" customWidth="1"/>
    <col min="4" max="4" width="20" bestFit="1" customWidth="1"/>
    <col min="5" max="5" width="13.1640625" bestFit="1" customWidth="1"/>
  </cols>
  <sheetData>
    <row r="3" spans="1:5" x14ac:dyDescent="0.2">
      <c r="A3" s="5" t="s">
        <v>1053</v>
      </c>
      <c r="B3" t="s">
        <v>1055</v>
      </c>
      <c r="C3" t="s">
        <v>1057</v>
      </c>
      <c r="D3" t="s">
        <v>1060</v>
      </c>
      <c r="E3" t="s">
        <v>1058</v>
      </c>
    </row>
    <row r="4" spans="1:5" s="27" customFormat="1" x14ac:dyDescent="0.2">
      <c r="A4" s="24" t="s">
        <v>31</v>
      </c>
      <c r="B4" s="25">
        <v>763747.02999999945</v>
      </c>
      <c r="C4" s="25">
        <v>521499.34000000026</v>
      </c>
      <c r="D4" s="25">
        <v>242247.6899999998</v>
      </c>
      <c r="E4" s="26">
        <v>11.317405031651726</v>
      </c>
    </row>
    <row r="5" spans="1:5" x14ac:dyDescent="0.2">
      <c r="A5" s="6" t="s">
        <v>20</v>
      </c>
      <c r="B5" s="14">
        <v>798769.35</v>
      </c>
      <c r="C5" s="14">
        <v>454363.39999999962</v>
      </c>
      <c r="D5" s="14">
        <v>344405.95</v>
      </c>
      <c r="E5" s="19">
        <v>8.0050666403794288</v>
      </c>
    </row>
    <row r="6" spans="1:5" x14ac:dyDescent="0.2">
      <c r="A6" s="6" t="s">
        <v>15</v>
      </c>
      <c r="B6" s="14">
        <v>167348.86000000002</v>
      </c>
      <c r="C6" s="14">
        <v>59371.330000000024</v>
      </c>
      <c r="D6" s="14">
        <v>107977.52999999996</v>
      </c>
      <c r="E6" s="19">
        <v>5.2860057759861032</v>
      </c>
    </row>
    <row r="7" spans="1:5" x14ac:dyDescent="0.2">
      <c r="A7" s="6" t="s">
        <v>1054</v>
      </c>
      <c r="B7" s="14">
        <v>1729865.2399999984</v>
      </c>
      <c r="C7" s="14">
        <v>1035234.0699999986</v>
      </c>
      <c r="D7" s="14">
        <v>694631.17</v>
      </c>
      <c r="E7" s="19">
        <v>8.4948026695645975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458E-A042-C743-B5E4-8D2F65F58252}">
  <dimension ref="A3:D24"/>
  <sheetViews>
    <sheetView workbookViewId="0">
      <selection activeCell="B31" sqref="B31"/>
    </sheetView>
  </sheetViews>
  <sheetFormatPr baseColWidth="10" defaultRowHeight="16" x14ac:dyDescent="0.2"/>
  <cols>
    <col min="1" max="1" width="20.5" bestFit="1" customWidth="1"/>
    <col min="2" max="2" width="12.6640625" bestFit="1" customWidth="1"/>
    <col min="3" max="3" width="20" bestFit="1" customWidth="1"/>
    <col min="4" max="4" width="19" bestFit="1" customWidth="1"/>
  </cols>
  <sheetData>
    <row r="3" spans="1:4" x14ac:dyDescent="0.2">
      <c r="A3" s="5" t="s">
        <v>1053</v>
      </c>
      <c r="B3" t="s">
        <v>1057</v>
      </c>
      <c r="C3" t="s">
        <v>1060</v>
      </c>
      <c r="D3" t="s">
        <v>1055</v>
      </c>
    </row>
    <row r="4" spans="1:4" s="23" customFormat="1" x14ac:dyDescent="0.2">
      <c r="A4" s="21" t="s">
        <v>110</v>
      </c>
      <c r="B4" s="22">
        <v>283053.77</v>
      </c>
      <c r="C4" s="22">
        <v>5855.16</v>
      </c>
      <c r="D4" s="22">
        <v>288908.92999999988</v>
      </c>
    </row>
    <row r="5" spans="1:4" x14ac:dyDescent="0.2">
      <c r="A5" s="6" t="s">
        <v>41</v>
      </c>
      <c r="B5" s="14">
        <v>259515.44000000003</v>
      </c>
      <c r="C5" s="14">
        <v>5821.8600000000006</v>
      </c>
      <c r="D5" s="14">
        <v>265337.30000000005</v>
      </c>
    </row>
    <row r="6" spans="1:4" x14ac:dyDescent="0.2">
      <c r="A6" s="6" t="s">
        <v>52</v>
      </c>
      <c r="B6" s="14">
        <v>230981.99</v>
      </c>
      <c r="C6" s="14">
        <v>5328.1000000000013</v>
      </c>
      <c r="D6" s="20">
        <v>236310.09000000003</v>
      </c>
    </row>
    <row r="7" spans="1:4" x14ac:dyDescent="0.2">
      <c r="A7" s="6" t="s">
        <v>23</v>
      </c>
      <c r="B7" s="14">
        <v>195618.74</v>
      </c>
      <c r="C7" s="14">
        <v>4081.2400000000002</v>
      </c>
      <c r="D7" s="14">
        <v>199699.98000000004</v>
      </c>
    </row>
    <row r="8" spans="1:4" x14ac:dyDescent="0.2">
      <c r="A8" s="6" t="s">
        <v>54</v>
      </c>
      <c r="B8" s="14">
        <v>44874.84</v>
      </c>
      <c r="C8" s="14">
        <v>47861.100000000006</v>
      </c>
      <c r="D8" s="14">
        <v>92735.94</v>
      </c>
    </row>
    <row r="9" spans="1:4" x14ac:dyDescent="0.2">
      <c r="A9" s="6" t="s">
        <v>13</v>
      </c>
      <c r="B9" s="14">
        <v>43763.89999999998</v>
      </c>
      <c r="C9" s="14">
        <v>56773.499999999993</v>
      </c>
      <c r="D9" s="14">
        <v>100537.4</v>
      </c>
    </row>
    <row r="10" spans="1:4" x14ac:dyDescent="0.2">
      <c r="A10" s="6" t="s">
        <v>120</v>
      </c>
      <c r="B10" s="14">
        <v>38887.26</v>
      </c>
      <c r="C10" s="14">
        <v>46451.130000000012</v>
      </c>
      <c r="D10" s="14">
        <v>85338.389999999985</v>
      </c>
    </row>
    <row r="11" spans="1:4" x14ac:dyDescent="0.2">
      <c r="A11" s="6" t="s">
        <v>19</v>
      </c>
      <c r="B11" s="14">
        <v>26201.249999999996</v>
      </c>
      <c r="C11" s="14">
        <v>47957.600000000006</v>
      </c>
      <c r="D11" s="14">
        <v>74158.849999999991</v>
      </c>
    </row>
    <row r="12" spans="1:4" x14ac:dyDescent="0.2">
      <c r="A12" s="6" t="s">
        <v>45</v>
      </c>
      <c r="B12" s="14">
        <v>19816.550000000003</v>
      </c>
      <c r="C12" s="14">
        <v>29974.489999999998</v>
      </c>
      <c r="D12" s="14">
        <v>49791.040000000008</v>
      </c>
    </row>
    <row r="13" spans="1:4" x14ac:dyDescent="0.2">
      <c r="A13" s="6" t="s">
        <v>49</v>
      </c>
      <c r="B13" s="14">
        <v>18176.46</v>
      </c>
      <c r="C13" s="14">
        <v>30639.600000000002</v>
      </c>
      <c r="D13" s="14">
        <v>48816.060000000012</v>
      </c>
    </row>
    <row r="14" spans="1:4" x14ac:dyDescent="0.2">
      <c r="A14" s="6" t="s">
        <v>97</v>
      </c>
      <c r="B14" s="14">
        <v>13914.860000000002</v>
      </c>
      <c r="C14" s="14">
        <v>38610.519999999997</v>
      </c>
      <c r="D14" s="14">
        <v>52525.380000000005</v>
      </c>
    </row>
    <row r="15" spans="1:4" x14ac:dyDescent="0.2">
      <c r="A15" s="6" t="s">
        <v>156</v>
      </c>
      <c r="B15" s="14">
        <v>11593.990000000003</v>
      </c>
      <c r="C15" s="14">
        <v>34233.750000000007</v>
      </c>
      <c r="D15" s="14">
        <v>45827.74</v>
      </c>
    </row>
    <row r="16" spans="1:4" x14ac:dyDescent="0.2">
      <c r="A16" s="6" t="s">
        <v>74</v>
      </c>
      <c r="B16" s="14">
        <v>-7737.8700000000017</v>
      </c>
      <c r="C16" s="14">
        <v>27233.940000000006</v>
      </c>
      <c r="D16" s="14">
        <v>19496.07</v>
      </c>
    </row>
    <row r="17" spans="1:4" x14ac:dyDescent="0.2">
      <c r="A17" s="6" t="s">
        <v>27</v>
      </c>
      <c r="B17" s="14">
        <v>-9117.0599999999977</v>
      </c>
      <c r="C17" s="14">
        <v>31643.089999999989</v>
      </c>
      <c r="D17" s="14">
        <v>22526.029999999995</v>
      </c>
    </row>
    <row r="18" spans="1:4" x14ac:dyDescent="0.2">
      <c r="A18" s="6" t="s">
        <v>33</v>
      </c>
      <c r="B18" s="14">
        <v>-9407.7999999999993</v>
      </c>
      <c r="C18" s="14">
        <v>35593.199999999997</v>
      </c>
      <c r="D18" s="14">
        <v>26185.399999999998</v>
      </c>
    </row>
    <row r="19" spans="1:4" x14ac:dyDescent="0.2">
      <c r="A19" s="6" t="s">
        <v>39</v>
      </c>
      <c r="B19" s="14">
        <v>-9761.67</v>
      </c>
      <c r="C19" s="14">
        <v>35512.409999999996</v>
      </c>
      <c r="D19" s="14">
        <v>25750.740000000005</v>
      </c>
    </row>
    <row r="20" spans="1:4" x14ac:dyDescent="0.2">
      <c r="A20" s="6" t="s">
        <v>43</v>
      </c>
      <c r="B20" s="14">
        <v>-17621.46</v>
      </c>
      <c r="C20" s="14">
        <v>41782.05000000001</v>
      </c>
      <c r="D20" s="14">
        <v>24160.590000000004</v>
      </c>
    </row>
    <row r="21" spans="1:4" x14ac:dyDescent="0.2">
      <c r="A21" s="6" t="s">
        <v>36</v>
      </c>
      <c r="B21" s="14">
        <v>-26953.879999999997</v>
      </c>
      <c r="C21" s="14">
        <v>50300.160000000003</v>
      </c>
      <c r="D21" s="14">
        <v>23346.280000000002</v>
      </c>
    </row>
    <row r="22" spans="1:4" x14ac:dyDescent="0.2">
      <c r="A22" s="6" t="s">
        <v>58</v>
      </c>
      <c r="B22" s="14">
        <v>-32666.000000000011</v>
      </c>
      <c r="C22" s="14">
        <v>53684.550000000017</v>
      </c>
      <c r="D22" s="14">
        <v>21018.550000000003</v>
      </c>
    </row>
    <row r="23" spans="1:4" x14ac:dyDescent="0.2">
      <c r="A23" s="6" t="s">
        <v>71</v>
      </c>
      <c r="B23" s="14">
        <v>-37899.239999999983</v>
      </c>
      <c r="C23" s="14">
        <v>65293.719999999994</v>
      </c>
      <c r="D23" s="14">
        <v>27394.48</v>
      </c>
    </row>
    <row r="24" spans="1:4" x14ac:dyDescent="0.2">
      <c r="A24" s="6" t="s">
        <v>1054</v>
      </c>
      <c r="B24" s="14">
        <v>1035234.07</v>
      </c>
      <c r="C24" s="14">
        <v>694631.16999999993</v>
      </c>
      <c r="D24" s="14">
        <v>1729865.2400000002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C559-0152-5940-8583-76FF733E2BBF}">
  <dimension ref="A3:D12"/>
  <sheetViews>
    <sheetView workbookViewId="0">
      <selection activeCell="B4" sqref="B4"/>
    </sheetView>
  </sheetViews>
  <sheetFormatPr baseColWidth="10" defaultRowHeight="16" x14ac:dyDescent="0.2"/>
  <cols>
    <col min="1" max="1" width="20.5" bestFit="1" customWidth="1"/>
    <col min="2" max="2" width="13.1640625" bestFit="1" customWidth="1"/>
    <col min="3" max="3" width="19" bestFit="1" customWidth="1"/>
    <col min="4" max="4" width="20" bestFit="1" customWidth="1"/>
  </cols>
  <sheetData>
    <row r="3" spans="1:4" x14ac:dyDescent="0.2">
      <c r="A3" s="5" t="s">
        <v>1053</v>
      </c>
      <c r="B3" t="s">
        <v>1058</v>
      </c>
      <c r="C3" t="s">
        <v>1055</v>
      </c>
      <c r="D3" t="s">
        <v>1060</v>
      </c>
    </row>
    <row r="4" spans="1:4" x14ac:dyDescent="0.2">
      <c r="A4" s="6" t="s">
        <v>33</v>
      </c>
      <c r="B4" s="19">
        <v>-0.25974334377033365</v>
      </c>
      <c r="C4" s="14">
        <v>26185.399999999998</v>
      </c>
      <c r="D4" s="14">
        <v>35593.199999999997</v>
      </c>
    </row>
    <row r="5" spans="1:4" x14ac:dyDescent="0.2">
      <c r="A5" s="6" t="s">
        <v>27</v>
      </c>
      <c r="B5" s="19">
        <v>-0.27750738848640583</v>
      </c>
      <c r="C5" s="14">
        <v>22526.029999999995</v>
      </c>
      <c r="D5" s="14">
        <v>31643.089999999989</v>
      </c>
    </row>
    <row r="6" spans="1:4" x14ac:dyDescent="0.2">
      <c r="A6" s="6" t="s">
        <v>39</v>
      </c>
      <c r="B6" s="19">
        <v>-0.29385045160632756</v>
      </c>
      <c r="C6" s="14">
        <v>25750.740000000005</v>
      </c>
      <c r="D6" s="14">
        <v>35512.409999999996</v>
      </c>
    </row>
    <row r="7" spans="1:4" x14ac:dyDescent="0.2">
      <c r="A7" s="6" t="s">
        <v>74</v>
      </c>
      <c r="B7" s="19">
        <v>-0.29823040497410808</v>
      </c>
      <c r="C7" s="14">
        <v>19496.07</v>
      </c>
      <c r="D7" s="14">
        <v>27233.940000000006</v>
      </c>
    </row>
    <row r="8" spans="1:4" x14ac:dyDescent="0.2">
      <c r="A8" s="6" t="s">
        <v>43</v>
      </c>
      <c r="B8" s="19">
        <v>-0.44557921213113727</v>
      </c>
      <c r="C8" s="14">
        <v>24160.590000000004</v>
      </c>
      <c r="D8" s="14">
        <v>41782.05000000001</v>
      </c>
    </row>
    <row r="9" spans="1:4" x14ac:dyDescent="0.2">
      <c r="A9" s="6" t="s">
        <v>36</v>
      </c>
      <c r="B9" s="19">
        <v>-0.5411062417867113</v>
      </c>
      <c r="C9" s="14">
        <v>23346.280000000002</v>
      </c>
      <c r="D9" s="14">
        <v>50300.160000000003</v>
      </c>
    </row>
    <row r="10" spans="1:4" x14ac:dyDescent="0.2">
      <c r="A10" s="6" t="s">
        <v>58</v>
      </c>
      <c r="B10" s="19">
        <v>-0.56297512603924083</v>
      </c>
      <c r="C10" s="14">
        <v>21018.550000000003</v>
      </c>
      <c r="D10" s="14">
        <v>53684.550000000017</v>
      </c>
    </row>
    <row r="11" spans="1:4" x14ac:dyDescent="0.2">
      <c r="A11" s="6" t="s">
        <v>71</v>
      </c>
      <c r="B11" s="19">
        <v>-0.56966630725741163</v>
      </c>
      <c r="C11" s="14">
        <v>27394.48</v>
      </c>
      <c r="D11" s="14">
        <v>65293.719999999994</v>
      </c>
    </row>
    <row r="12" spans="1:4" x14ac:dyDescent="0.2">
      <c r="A12" s="6" t="s">
        <v>1054</v>
      </c>
      <c r="B12" s="19">
        <v>-0.40941119567623335</v>
      </c>
      <c r="C12" s="14">
        <v>189878.14000000007</v>
      </c>
      <c r="D12" s="14">
        <v>341043.11999999994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7EEB-04C5-5E4E-8636-64A69767F89B}">
  <dimension ref="A1:Q1001"/>
  <sheetViews>
    <sheetView tabSelected="1" topLeftCell="K1" workbookViewId="0">
      <selection activeCell="R14" sqref="R14"/>
    </sheetView>
  </sheetViews>
  <sheetFormatPr baseColWidth="10" defaultRowHeight="16" x14ac:dyDescent="0.2"/>
  <cols>
    <col min="1" max="1" width="25.83203125" customWidth="1"/>
    <col min="2" max="2" width="34.83203125" customWidth="1"/>
    <col min="3" max="3" width="31.5" customWidth="1"/>
    <col min="4" max="4" width="34.5" customWidth="1"/>
    <col min="5" max="5" width="37.83203125" customWidth="1"/>
    <col min="6" max="6" width="33.33203125" customWidth="1"/>
    <col min="7" max="7" width="37.1640625" customWidth="1"/>
    <col min="8" max="8" width="27.6640625" customWidth="1"/>
    <col min="9" max="9" width="30" customWidth="1"/>
    <col min="10" max="10" width="31" customWidth="1"/>
    <col min="11" max="11" width="28.83203125" style="14" customWidth="1"/>
    <col min="12" max="12" width="19.6640625" style="8" customWidth="1"/>
    <col min="13" max="13" width="10.83203125" style="16"/>
    <col min="14" max="14" width="16.33203125" style="18" customWidth="1"/>
    <col min="15" max="15" width="10.83203125" style="8"/>
    <col min="16" max="16" width="10.83203125" style="14"/>
    <col min="17" max="17" width="10.83203125" style="16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10</v>
      </c>
      <c r="L1" s="7" t="s">
        <v>11</v>
      </c>
      <c r="M1" s="15" t="s">
        <v>1048</v>
      </c>
      <c r="N1" s="17" t="s">
        <v>1049</v>
      </c>
      <c r="O1" s="7" t="s">
        <v>1050</v>
      </c>
      <c r="P1" s="11" t="s">
        <v>1051</v>
      </c>
      <c r="Q1" s="15" t="s">
        <v>1052</v>
      </c>
    </row>
    <row r="2" spans="1:17" x14ac:dyDescent="0.2">
      <c r="A2" s="2">
        <v>45658</v>
      </c>
      <c r="B2" s="3" t="s">
        <v>173</v>
      </c>
      <c r="C2" s="3" t="s">
        <v>54</v>
      </c>
      <c r="D2" s="3" t="s">
        <v>14</v>
      </c>
      <c r="E2" s="3" t="s">
        <v>20</v>
      </c>
      <c r="F2" s="3" t="s">
        <v>34</v>
      </c>
      <c r="G2" s="3" t="s">
        <v>21</v>
      </c>
      <c r="H2" s="3">
        <v>9815</v>
      </c>
      <c r="I2" s="3">
        <v>550</v>
      </c>
      <c r="J2" s="3">
        <v>20</v>
      </c>
      <c r="K2" s="12">
        <v>981.6</v>
      </c>
      <c r="L2" s="9">
        <v>1631.42</v>
      </c>
      <c r="M2" s="16">
        <f>IFERROR(I2/H2,0)</f>
        <v>5.6036678553234846E-2</v>
      </c>
      <c r="N2" s="18">
        <f>IFERROR(J2/I2,0)</f>
        <v>3.6363636363636362E-2</v>
      </c>
      <c r="O2" s="8">
        <f>IFERROR(K2/J2,0)</f>
        <v>49.08</v>
      </c>
      <c r="P2" s="14">
        <f>L2-K2</f>
        <v>649.82000000000005</v>
      </c>
      <c r="Q2" s="16">
        <f>IFERROR((L2-K2)/K2,0)</f>
        <v>0.662000814995925</v>
      </c>
    </row>
    <row r="3" spans="1:17" x14ac:dyDescent="0.2">
      <c r="A3" s="2">
        <v>45658</v>
      </c>
      <c r="B3" s="3" t="s">
        <v>367</v>
      </c>
      <c r="C3" s="3" t="s">
        <v>19</v>
      </c>
      <c r="D3" s="3" t="s">
        <v>14</v>
      </c>
      <c r="E3" s="3" t="s">
        <v>20</v>
      </c>
      <c r="F3" s="3" t="s">
        <v>34</v>
      </c>
      <c r="G3" s="3" t="s">
        <v>17</v>
      </c>
      <c r="H3" s="3">
        <v>6807</v>
      </c>
      <c r="I3" s="3">
        <v>325</v>
      </c>
      <c r="J3" s="3">
        <v>8</v>
      </c>
      <c r="K3" s="12">
        <v>692.97</v>
      </c>
      <c r="L3" s="9">
        <v>921.24</v>
      </c>
      <c r="M3" s="16">
        <f t="shared" ref="M3:M66" si="0">IFERROR(I3/H3,0)</f>
        <v>4.7744968414867049E-2</v>
      </c>
      <c r="N3" s="18">
        <f t="shared" ref="N3:N66" si="1">IFERROR(J3/I3,0)</f>
        <v>2.4615384615384615E-2</v>
      </c>
      <c r="O3" s="8">
        <f t="shared" ref="O3:O66" si="2">IFERROR(K3/J3,0)</f>
        <v>86.621250000000003</v>
      </c>
      <c r="P3" s="14">
        <f t="shared" ref="P3:P66" si="3">L3-K3</f>
        <v>228.26999999999998</v>
      </c>
      <c r="Q3" s="16">
        <f t="shared" ref="Q3:Q66" si="4">IFERROR((L3-K3)/K3,0)</f>
        <v>0.32940819948915534</v>
      </c>
    </row>
    <row r="4" spans="1:17" x14ac:dyDescent="0.2">
      <c r="A4" s="2">
        <v>45658</v>
      </c>
      <c r="B4" s="3" t="s">
        <v>76</v>
      </c>
      <c r="C4" s="3" t="s">
        <v>97</v>
      </c>
      <c r="D4" s="3" t="s">
        <v>46</v>
      </c>
      <c r="E4" s="3" t="s">
        <v>15</v>
      </c>
      <c r="F4" s="3" t="s">
        <v>47</v>
      </c>
      <c r="G4" s="3" t="s">
        <v>21</v>
      </c>
      <c r="H4" s="3">
        <v>19595</v>
      </c>
      <c r="I4" s="3">
        <v>455</v>
      </c>
      <c r="J4" s="3">
        <v>9</v>
      </c>
      <c r="K4" s="12">
        <v>844.55</v>
      </c>
      <c r="L4" s="9">
        <v>456.88</v>
      </c>
      <c r="M4" s="16">
        <f t="shared" si="0"/>
        <v>2.3220209237050267E-2</v>
      </c>
      <c r="N4" s="18">
        <f t="shared" si="1"/>
        <v>1.9780219780219779E-2</v>
      </c>
      <c r="O4" s="8">
        <f t="shared" si="2"/>
        <v>93.838888888888889</v>
      </c>
      <c r="P4" s="14">
        <f t="shared" si="3"/>
        <v>-387.66999999999996</v>
      </c>
      <c r="Q4" s="16">
        <f t="shared" si="4"/>
        <v>-0.45902551654727369</v>
      </c>
    </row>
    <row r="5" spans="1:17" x14ac:dyDescent="0.2">
      <c r="A5" s="2">
        <v>45658</v>
      </c>
      <c r="B5" s="3" t="s">
        <v>183</v>
      </c>
      <c r="C5" s="3" t="s">
        <v>43</v>
      </c>
      <c r="D5" s="3" t="s">
        <v>37</v>
      </c>
      <c r="E5" s="3" t="s">
        <v>15</v>
      </c>
      <c r="F5" s="3" t="s">
        <v>47</v>
      </c>
      <c r="G5" s="3" t="s">
        <v>17</v>
      </c>
      <c r="H5" s="3">
        <v>3607</v>
      </c>
      <c r="I5" s="3">
        <v>144</v>
      </c>
      <c r="J5" s="3">
        <v>1</v>
      </c>
      <c r="K5" s="12">
        <v>711.2</v>
      </c>
      <c r="L5" s="9">
        <v>188.92</v>
      </c>
      <c r="M5" s="16">
        <f t="shared" si="0"/>
        <v>3.9922373163293598E-2</v>
      </c>
      <c r="N5" s="18">
        <f t="shared" si="1"/>
        <v>6.9444444444444441E-3</v>
      </c>
      <c r="O5" s="8">
        <f t="shared" si="2"/>
        <v>711.2</v>
      </c>
      <c r="P5" s="14">
        <f t="shared" si="3"/>
        <v>-522.28000000000009</v>
      </c>
      <c r="Q5" s="16">
        <f t="shared" si="4"/>
        <v>-0.73436445444319465</v>
      </c>
    </row>
    <row r="6" spans="1:17" x14ac:dyDescent="0.2">
      <c r="A6" s="2">
        <v>45658</v>
      </c>
      <c r="B6" s="3" t="s">
        <v>548</v>
      </c>
      <c r="C6" s="3" t="s">
        <v>54</v>
      </c>
      <c r="D6" s="3" t="s">
        <v>14</v>
      </c>
      <c r="E6" s="3" t="s">
        <v>31</v>
      </c>
      <c r="F6" s="3" t="s">
        <v>47</v>
      </c>
      <c r="G6" s="3" t="s">
        <v>21</v>
      </c>
      <c r="H6" s="3">
        <v>11837</v>
      </c>
      <c r="I6" s="3">
        <v>623</v>
      </c>
      <c r="J6" s="3">
        <v>38</v>
      </c>
      <c r="K6" s="12">
        <v>1237.74</v>
      </c>
      <c r="L6" s="9">
        <v>4191.08</v>
      </c>
      <c r="M6" s="16">
        <f t="shared" si="0"/>
        <v>5.2631578947368418E-2</v>
      </c>
      <c r="N6" s="18">
        <f t="shared" si="1"/>
        <v>6.0995184590690206E-2</v>
      </c>
      <c r="O6" s="8">
        <f t="shared" si="2"/>
        <v>32.572105263157894</v>
      </c>
      <c r="P6" s="14">
        <f t="shared" si="3"/>
        <v>2953.34</v>
      </c>
      <c r="Q6" s="16">
        <f t="shared" si="4"/>
        <v>2.3860746198717018</v>
      </c>
    </row>
    <row r="7" spans="1:17" x14ac:dyDescent="0.2">
      <c r="A7" s="2">
        <v>45658</v>
      </c>
      <c r="B7" s="3" t="s">
        <v>549</v>
      </c>
      <c r="C7" s="3" t="s">
        <v>39</v>
      </c>
      <c r="D7" s="3" t="s">
        <v>28</v>
      </c>
      <c r="E7" s="3" t="s">
        <v>20</v>
      </c>
      <c r="F7" s="3" t="s">
        <v>29</v>
      </c>
      <c r="G7" s="3" t="s">
        <v>17</v>
      </c>
      <c r="H7" s="3">
        <v>21784</v>
      </c>
      <c r="I7" s="3">
        <v>348</v>
      </c>
      <c r="J7" s="3">
        <v>3</v>
      </c>
      <c r="K7" s="12">
        <v>456.79</v>
      </c>
      <c r="L7" s="9">
        <v>122.26</v>
      </c>
      <c r="M7" s="16">
        <f t="shared" si="0"/>
        <v>1.5975027543150937E-2</v>
      </c>
      <c r="N7" s="18">
        <f t="shared" si="1"/>
        <v>8.6206896551724137E-3</v>
      </c>
      <c r="O7" s="8">
        <f t="shared" si="2"/>
        <v>152.26333333333335</v>
      </c>
      <c r="P7" s="14">
        <f t="shared" si="3"/>
        <v>-334.53000000000003</v>
      </c>
      <c r="Q7" s="16">
        <f t="shared" si="4"/>
        <v>-0.73234965739179936</v>
      </c>
    </row>
    <row r="8" spans="1:17" x14ac:dyDescent="0.2">
      <c r="A8" s="2">
        <v>45658</v>
      </c>
      <c r="B8" s="3" t="s">
        <v>550</v>
      </c>
      <c r="C8" s="3" t="s">
        <v>41</v>
      </c>
      <c r="D8" s="3" t="s">
        <v>24</v>
      </c>
      <c r="E8" s="3" t="s">
        <v>15</v>
      </c>
      <c r="F8" s="3" t="s">
        <v>34</v>
      </c>
      <c r="G8" s="3" t="s">
        <v>17</v>
      </c>
      <c r="H8" s="3">
        <v>2470</v>
      </c>
      <c r="I8" s="3">
        <v>242</v>
      </c>
      <c r="J8" s="3">
        <v>17</v>
      </c>
      <c r="K8" s="12">
        <v>55.44</v>
      </c>
      <c r="L8" s="9">
        <v>1784.55</v>
      </c>
      <c r="M8" s="16">
        <f t="shared" si="0"/>
        <v>9.7975708502024292E-2</v>
      </c>
      <c r="N8" s="18">
        <f t="shared" si="1"/>
        <v>7.0247933884297523E-2</v>
      </c>
      <c r="O8" s="8">
        <f t="shared" si="2"/>
        <v>3.2611764705882353</v>
      </c>
      <c r="P8" s="14">
        <f t="shared" si="3"/>
        <v>1729.11</v>
      </c>
      <c r="Q8" s="16">
        <f t="shared" si="4"/>
        <v>31.188852813852812</v>
      </c>
    </row>
    <row r="9" spans="1:17" x14ac:dyDescent="0.2">
      <c r="A9" s="2">
        <v>45658</v>
      </c>
      <c r="B9" s="3" t="s">
        <v>477</v>
      </c>
      <c r="C9" s="3" t="s">
        <v>33</v>
      </c>
      <c r="D9" s="3" t="s">
        <v>28</v>
      </c>
      <c r="E9" s="3" t="s">
        <v>31</v>
      </c>
      <c r="F9" s="3" t="s">
        <v>29</v>
      </c>
      <c r="G9" s="3" t="s">
        <v>25</v>
      </c>
      <c r="H9" s="3">
        <v>26282</v>
      </c>
      <c r="I9" s="3">
        <v>585</v>
      </c>
      <c r="J9" s="3">
        <v>14</v>
      </c>
      <c r="K9" s="12">
        <v>568.13</v>
      </c>
      <c r="L9" s="9">
        <v>683.36</v>
      </c>
      <c r="M9" s="16">
        <f t="shared" si="0"/>
        <v>2.2258580016741497E-2</v>
      </c>
      <c r="N9" s="18">
        <f t="shared" si="1"/>
        <v>2.3931623931623933E-2</v>
      </c>
      <c r="O9" s="8">
        <f t="shared" si="2"/>
        <v>40.580714285714286</v>
      </c>
      <c r="P9" s="14">
        <f t="shared" si="3"/>
        <v>115.23000000000002</v>
      </c>
      <c r="Q9" s="16">
        <f t="shared" si="4"/>
        <v>0.20282329748473063</v>
      </c>
    </row>
    <row r="10" spans="1:17" x14ac:dyDescent="0.2">
      <c r="A10" s="2">
        <v>45658</v>
      </c>
      <c r="B10" s="3" t="s">
        <v>144</v>
      </c>
      <c r="C10" s="3" t="s">
        <v>71</v>
      </c>
      <c r="D10" s="3" t="s">
        <v>37</v>
      </c>
      <c r="E10" s="3" t="s">
        <v>20</v>
      </c>
      <c r="F10" s="3" t="s">
        <v>47</v>
      </c>
      <c r="G10" s="3" t="s">
        <v>17</v>
      </c>
      <c r="H10" s="3">
        <v>3416</v>
      </c>
      <c r="I10" s="3">
        <v>145</v>
      </c>
      <c r="J10" s="3">
        <v>3</v>
      </c>
      <c r="K10" s="12">
        <v>890.48</v>
      </c>
      <c r="L10" s="9">
        <v>598.41</v>
      </c>
      <c r="M10" s="16">
        <f t="shared" si="0"/>
        <v>4.2447306791569085E-2</v>
      </c>
      <c r="N10" s="18">
        <f t="shared" si="1"/>
        <v>2.0689655172413793E-2</v>
      </c>
      <c r="O10" s="8">
        <f t="shared" si="2"/>
        <v>296.82666666666665</v>
      </c>
      <c r="P10" s="14">
        <f t="shared" si="3"/>
        <v>-292.07000000000005</v>
      </c>
      <c r="Q10" s="16">
        <f t="shared" si="4"/>
        <v>-0.32799164495552963</v>
      </c>
    </row>
    <row r="11" spans="1:17" x14ac:dyDescent="0.2">
      <c r="A11" s="2">
        <v>45658</v>
      </c>
      <c r="B11" s="3" t="s">
        <v>551</v>
      </c>
      <c r="C11" s="3" t="s">
        <v>74</v>
      </c>
      <c r="D11" s="3" t="s">
        <v>28</v>
      </c>
      <c r="E11" s="3" t="s">
        <v>15</v>
      </c>
      <c r="F11" s="3" t="s">
        <v>50</v>
      </c>
      <c r="G11" s="3" t="s">
        <v>21</v>
      </c>
      <c r="H11" s="3">
        <v>19924</v>
      </c>
      <c r="I11" s="3">
        <v>471</v>
      </c>
      <c r="J11" s="3">
        <v>5</v>
      </c>
      <c r="K11" s="12">
        <v>697.66</v>
      </c>
      <c r="L11" s="9">
        <v>321.37</v>
      </c>
      <c r="M11" s="16">
        <f t="shared" si="0"/>
        <v>2.3639831359164826E-2</v>
      </c>
      <c r="N11" s="18">
        <f t="shared" si="1"/>
        <v>1.0615711252653927E-2</v>
      </c>
      <c r="O11" s="8">
        <f t="shared" si="2"/>
        <v>139.53199999999998</v>
      </c>
      <c r="P11" s="14">
        <f t="shared" si="3"/>
        <v>-376.28999999999996</v>
      </c>
      <c r="Q11" s="16">
        <f t="shared" si="4"/>
        <v>-0.53936014677636668</v>
      </c>
    </row>
    <row r="12" spans="1:17" x14ac:dyDescent="0.2">
      <c r="A12" s="2">
        <v>45659</v>
      </c>
      <c r="B12" s="3" t="s">
        <v>359</v>
      </c>
      <c r="C12" s="3" t="s">
        <v>33</v>
      </c>
      <c r="D12" s="3" t="s">
        <v>28</v>
      </c>
      <c r="E12" s="3" t="s">
        <v>20</v>
      </c>
      <c r="F12" s="3" t="s">
        <v>29</v>
      </c>
      <c r="G12" s="3" t="s">
        <v>17</v>
      </c>
      <c r="H12" s="3">
        <v>24472</v>
      </c>
      <c r="I12" s="3">
        <v>676</v>
      </c>
      <c r="J12" s="3">
        <v>7</v>
      </c>
      <c r="K12" s="12">
        <v>898.04</v>
      </c>
      <c r="L12" s="9">
        <v>296.44</v>
      </c>
      <c r="M12" s="16">
        <f t="shared" si="0"/>
        <v>2.7623406341941811E-2</v>
      </c>
      <c r="N12" s="18">
        <f t="shared" si="1"/>
        <v>1.0355029585798817E-2</v>
      </c>
      <c r="O12" s="8">
        <f t="shared" si="2"/>
        <v>128.29142857142855</v>
      </c>
      <c r="P12" s="14">
        <f t="shared" si="3"/>
        <v>-601.59999999999991</v>
      </c>
      <c r="Q12" s="16">
        <f t="shared" si="4"/>
        <v>-0.66990334506258065</v>
      </c>
    </row>
    <row r="13" spans="1:17" x14ac:dyDescent="0.2">
      <c r="A13" s="2">
        <v>45659</v>
      </c>
      <c r="B13" s="3" t="s">
        <v>540</v>
      </c>
      <c r="C13" s="3" t="s">
        <v>19</v>
      </c>
      <c r="D13" s="3" t="s">
        <v>14</v>
      </c>
      <c r="E13" s="3" t="s">
        <v>15</v>
      </c>
      <c r="F13" s="3" t="s">
        <v>16</v>
      </c>
      <c r="G13" s="3" t="s">
        <v>17</v>
      </c>
      <c r="H13" s="3">
        <v>9829</v>
      </c>
      <c r="I13" s="3">
        <v>524</v>
      </c>
      <c r="J13" s="3">
        <v>14</v>
      </c>
      <c r="K13" s="12">
        <v>945.16</v>
      </c>
      <c r="L13" s="9">
        <v>1153.69</v>
      </c>
      <c r="M13" s="16">
        <f t="shared" si="0"/>
        <v>5.3311628853393023E-2</v>
      </c>
      <c r="N13" s="18">
        <f t="shared" si="1"/>
        <v>2.6717557251908396E-2</v>
      </c>
      <c r="O13" s="8">
        <f t="shared" si="2"/>
        <v>67.511428571428567</v>
      </c>
      <c r="P13" s="14">
        <f t="shared" si="3"/>
        <v>208.53000000000009</v>
      </c>
      <c r="Q13" s="16">
        <f t="shared" si="4"/>
        <v>0.22062931143933312</v>
      </c>
    </row>
    <row r="14" spans="1:17" x14ac:dyDescent="0.2">
      <c r="A14" s="2">
        <v>45659</v>
      </c>
      <c r="B14" s="3" t="s">
        <v>363</v>
      </c>
      <c r="C14" s="3" t="s">
        <v>23</v>
      </c>
      <c r="D14" s="3" t="s">
        <v>24</v>
      </c>
      <c r="E14" s="3" t="s">
        <v>20</v>
      </c>
      <c r="F14" s="3" t="s">
        <v>47</v>
      </c>
      <c r="G14" s="3" t="s">
        <v>21</v>
      </c>
      <c r="H14" s="3">
        <v>1752</v>
      </c>
      <c r="I14" s="3">
        <v>181</v>
      </c>
      <c r="J14" s="3">
        <v>20</v>
      </c>
      <c r="K14" s="12">
        <v>87.8</v>
      </c>
      <c r="L14" s="9">
        <v>2803.39</v>
      </c>
      <c r="M14" s="16">
        <f t="shared" si="0"/>
        <v>0.10331050228310502</v>
      </c>
      <c r="N14" s="18">
        <f t="shared" si="1"/>
        <v>0.11049723756906077</v>
      </c>
      <c r="O14" s="8">
        <f t="shared" si="2"/>
        <v>4.3899999999999997</v>
      </c>
      <c r="P14" s="14">
        <f t="shared" si="3"/>
        <v>2715.5899999999997</v>
      </c>
      <c r="Q14" s="16">
        <f t="shared" si="4"/>
        <v>30.92927107061503</v>
      </c>
    </row>
    <row r="15" spans="1:17" x14ac:dyDescent="0.2">
      <c r="A15" s="2">
        <v>45659</v>
      </c>
      <c r="B15" s="3" t="s">
        <v>552</v>
      </c>
      <c r="C15" s="3" t="s">
        <v>43</v>
      </c>
      <c r="D15" s="3" t="s">
        <v>37</v>
      </c>
      <c r="E15" s="3" t="s">
        <v>31</v>
      </c>
      <c r="F15" s="3" t="s">
        <v>50</v>
      </c>
      <c r="G15" s="3" t="s">
        <v>17</v>
      </c>
      <c r="H15" s="3">
        <v>4784</v>
      </c>
      <c r="I15" s="3">
        <v>254</v>
      </c>
      <c r="J15" s="3">
        <v>4</v>
      </c>
      <c r="K15" s="12">
        <v>1641.97</v>
      </c>
      <c r="L15" s="9">
        <v>501.77</v>
      </c>
      <c r="M15" s="16">
        <f t="shared" si="0"/>
        <v>5.3093645484949832E-2</v>
      </c>
      <c r="N15" s="18">
        <f t="shared" si="1"/>
        <v>1.5748031496062992E-2</v>
      </c>
      <c r="O15" s="8">
        <f t="shared" si="2"/>
        <v>410.49250000000001</v>
      </c>
      <c r="P15" s="14">
        <f t="shared" si="3"/>
        <v>-1140.2</v>
      </c>
      <c r="Q15" s="16">
        <f t="shared" si="4"/>
        <v>-0.69440976388119147</v>
      </c>
    </row>
    <row r="16" spans="1:17" x14ac:dyDescent="0.2">
      <c r="A16" s="2">
        <v>45659</v>
      </c>
      <c r="B16" s="3" t="s">
        <v>553</v>
      </c>
      <c r="C16" s="3" t="s">
        <v>71</v>
      </c>
      <c r="D16" s="3" t="s">
        <v>37</v>
      </c>
      <c r="E16" s="3" t="s">
        <v>20</v>
      </c>
      <c r="F16" s="3" t="s">
        <v>50</v>
      </c>
      <c r="G16" s="3" t="s">
        <v>17</v>
      </c>
      <c r="H16" s="3">
        <v>5330</v>
      </c>
      <c r="I16" s="3">
        <v>217</v>
      </c>
      <c r="J16" s="3">
        <v>5</v>
      </c>
      <c r="K16" s="12">
        <v>1533.86</v>
      </c>
      <c r="L16" s="9">
        <v>111.62</v>
      </c>
      <c r="M16" s="16">
        <f t="shared" si="0"/>
        <v>4.0712945590994372E-2</v>
      </c>
      <c r="N16" s="18">
        <f t="shared" si="1"/>
        <v>2.3041474654377881E-2</v>
      </c>
      <c r="O16" s="8">
        <f t="shared" si="2"/>
        <v>306.77199999999999</v>
      </c>
      <c r="P16" s="14">
        <f t="shared" si="3"/>
        <v>-1422.2399999999998</v>
      </c>
      <c r="Q16" s="16">
        <f t="shared" si="4"/>
        <v>-0.92722934296480763</v>
      </c>
    </row>
    <row r="17" spans="1:17" x14ac:dyDescent="0.2">
      <c r="A17" s="2">
        <v>45659</v>
      </c>
      <c r="B17" s="3" t="s">
        <v>498</v>
      </c>
      <c r="C17" s="3" t="s">
        <v>19</v>
      </c>
      <c r="D17" s="3" t="s">
        <v>14</v>
      </c>
      <c r="E17" s="3" t="s">
        <v>20</v>
      </c>
      <c r="F17" s="3" t="s">
        <v>16</v>
      </c>
      <c r="G17" s="3" t="s">
        <v>17</v>
      </c>
      <c r="H17" s="3">
        <v>9771</v>
      </c>
      <c r="I17" s="3">
        <v>398</v>
      </c>
      <c r="J17" s="3">
        <v>10</v>
      </c>
      <c r="K17" s="12">
        <v>1071.8699999999999</v>
      </c>
      <c r="L17" s="9">
        <v>684.11</v>
      </c>
      <c r="M17" s="16">
        <f t="shared" si="0"/>
        <v>4.0732780677515096E-2</v>
      </c>
      <c r="N17" s="18">
        <f t="shared" si="1"/>
        <v>2.5125628140703519E-2</v>
      </c>
      <c r="O17" s="8">
        <f t="shared" si="2"/>
        <v>107.18699999999998</v>
      </c>
      <c r="P17" s="14">
        <f t="shared" si="3"/>
        <v>-387.75999999999988</v>
      </c>
      <c r="Q17" s="16">
        <f t="shared" si="4"/>
        <v>-0.36176028809463828</v>
      </c>
    </row>
    <row r="18" spans="1:17" x14ac:dyDescent="0.2">
      <c r="A18" s="2">
        <v>45659</v>
      </c>
      <c r="B18" s="3" t="s">
        <v>554</v>
      </c>
      <c r="C18" s="3" t="s">
        <v>27</v>
      </c>
      <c r="D18" s="3" t="s">
        <v>28</v>
      </c>
      <c r="E18" s="3" t="s">
        <v>20</v>
      </c>
      <c r="F18" s="3" t="s">
        <v>29</v>
      </c>
      <c r="G18" s="3" t="s">
        <v>21</v>
      </c>
      <c r="H18" s="3">
        <v>29961</v>
      </c>
      <c r="I18" s="3">
        <v>578</v>
      </c>
      <c r="J18" s="3">
        <v>9</v>
      </c>
      <c r="K18" s="12">
        <v>699.65</v>
      </c>
      <c r="L18" s="9">
        <v>631.61</v>
      </c>
      <c r="M18" s="16">
        <f t="shared" si="0"/>
        <v>1.9291745936383966E-2</v>
      </c>
      <c r="N18" s="18">
        <f t="shared" si="1"/>
        <v>1.5570934256055362E-2</v>
      </c>
      <c r="O18" s="8">
        <f t="shared" si="2"/>
        <v>77.73888888888888</v>
      </c>
      <c r="P18" s="14">
        <f t="shared" si="3"/>
        <v>-68.039999999999964</v>
      </c>
      <c r="Q18" s="16">
        <f t="shared" si="4"/>
        <v>-9.7248624312156029E-2</v>
      </c>
    </row>
    <row r="19" spans="1:17" x14ac:dyDescent="0.2">
      <c r="A19" s="2">
        <v>45659</v>
      </c>
      <c r="B19" s="3" t="s">
        <v>454</v>
      </c>
      <c r="C19" s="3" t="s">
        <v>19</v>
      </c>
      <c r="D19" s="3" t="s">
        <v>14</v>
      </c>
      <c r="E19" s="3" t="s">
        <v>20</v>
      </c>
      <c r="F19" s="3" t="s">
        <v>34</v>
      </c>
      <c r="G19" s="3" t="s">
        <v>21</v>
      </c>
      <c r="H19" s="3">
        <v>14577</v>
      </c>
      <c r="I19" s="3">
        <v>792</v>
      </c>
      <c r="J19" s="3">
        <v>40</v>
      </c>
      <c r="K19" s="12">
        <v>2159.44</v>
      </c>
      <c r="L19" s="9">
        <v>3825.05</v>
      </c>
      <c r="M19" s="16">
        <f t="shared" si="0"/>
        <v>5.4332167112574603E-2</v>
      </c>
      <c r="N19" s="18">
        <f t="shared" si="1"/>
        <v>5.0505050505050504E-2</v>
      </c>
      <c r="O19" s="8">
        <f t="shared" si="2"/>
        <v>53.986000000000004</v>
      </c>
      <c r="P19" s="14">
        <f t="shared" si="3"/>
        <v>1665.6100000000001</v>
      </c>
      <c r="Q19" s="16">
        <f t="shared" si="4"/>
        <v>0.77131571148075428</v>
      </c>
    </row>
    <row r="20" spans="1:17" x14ac:dyDescent="0.2">
      <c r="A20" s="2">
        <v>45659</v>
      </c>
      <c r="B20" s="3" t="s">
        <v>494</v>
      </c>
      <c r="C20" s="3" t="s">
        <v>49</v>
      </c>
      <c r="D20" s="3" t="s">
        <v>46</v>
      </c>
      <c r="E20" s="3" t="s">
        <v>31</v>
      </c>
      <c r="F20" s="3" t="s">
        <v>29</v>
      </c>
      <c r="G20" s="3" t="s">
        <v>21</v>
      </c>
      <c r="H20" s="3">
        <v>9590</v>
      </c>
      <c r="I20" s="3">
        <v>408</v>
      </c>
      <c r="J20" s="3">
        <v>16</v>
      </c>
      <c r="K20" s="12">
        <v>759</v>
      </c>
      <c r="L20" s="9">
        <v>1378.54</v>
      </c>
      <c r="M20" s="16">
        <f t="shared" si="0"/>
        <v>4.2544316996871744E-2</v>
      </c>
      <c r="N20" s="18">
        <f t="shared" si="1"/>
        <v>3.9215686274509803E-2</v>
      </c>
      <c r="O20" s="8">
        <f t="shared" si="2"/>
        <v>47.4375</v>
      </c>
      <c r="P20" s="14">
        <f t="shared" si="3"/>
        <v>619.54</v>
      </c>
      <c r="Q20" s="16">
        <f t="shared" si="4"/>
        <v>0.81625823451910406</v>
      </c>
    </row>
    <row r="21" spans="1:17" x14ac:dyDescent="0.2">
      <c r="A21" s="2">
        <v>45659</v>
      </c>
      <c r="B21" s="3" t="s">
        <v>100</v>
      </c>
      <c r="C21" s="3" t="s">
        <v>13</v>
      </c>
      <c r="D21" s="3" t="s">
        <v>14</v>
      </c>
      <c r="E21" s="3" t="s">
        <v>20</v>
      </c>
      <c r="F21" s="3" t="s">
        <v>29</v>
      </c>
      <c r="G21" s="3" t="s">
        <v>17</v>
      </c>
      <c r="H21" s="3">
        <v>8019</v>
      </c>
      <c r="I21" s="3">
        <v>524</v>
      </c>
      <c r="J21" s="3">
        <v>9</v>
      </c>
      <c r="K21" s="12">
        <v>1447.51</v>
      </c>
      <c r="L21" s="9">
        <v>693.31</v>
      </c>
      <c r="M21" s="16">
        <f t="shared" si="0"/>
        <v>6.5344806085546825E-2</v>
      </c>
      <c r="N21" s="18">
        <f t="shared" si="1"/>
        <v>1.717557251908397E-2</v>
      </c>
      <c r="O21" s="8">
        <f t="shared" si="2"/>
        <v>160.83444444444444</v>
      </c>
      <c r="P21" s="14">
        <f t="shared" si="3"/>
        <v>-754.2</v>
      </c>
      <c r="Q21" s="16">
        <f t="shared" si="4"/>
        <v>-0.52103266989519936</v>
      </c>
    </row>
    <row r="22" spans="1:17" x14ac:dyDescent="0.2">
      <c r="A22" s="2">
        <v>45659</v>
      </c>
      <c r="B22" s="3" t="s">
        <v>555</v>
      </c>
      <c r="C22" s="3" t="s">
        <v>58</v>
      </c>
      <c r="D22" s="3" t="s">
        <v>37</v>
      </c>
      <c r="E22" s="3" t="s">
        <v>15</v>
      </c>
      <c r="F22" s="3" t="s">
        <v>29</v>
      </c>
      <c r="G22" s="3" t="s">
        <v>17</v>
      </c>
      <c r="H22" s="3">
        <v>5563</v>
      </c>
      <c r="I22" s="3">
        <v>161</v>
      </c>
      <c r="J22" s="3">
        <v>2</v>
      </c>
      <c r="K22" s="12">
        <v>1236.8800000000001</v>
      </c>
      <c r="L22" s="9">
        <v>36.35</v>
      </c>
      <c r="M22" s="16">
        <f t="shared" si="0"/>
        <v>2.8941218766852416E-2</v>
      </c>
      <c r="N22" s="18">
        <f t="shared" si="1"/>
        <v>1.2422360248447204E-2</v>
      </c>
      <c r="O22" s="8">
        <f t="shared" si="2"/>
        <v>618.44000000000005</v>
      </c>
      <c r="P22" s="14">
        <f t="shared" si="3"/>
        <v>-1200.5300000000002</v>
      </c>
      <c r="Q22" s="16">
        <f t="shared" si="4"/>
        <v>-0.97061153871030337</v>
      </c>
    </row>
    <row r="23" spans="1:17" x14ac:dyDescent="0.2">
      <c r="A23" s="2">
        <v>45660</v>
      </c>
      <c r="B23" s="3" t="s">
        <v>556</v>
      </c>
      <c r="C23" s="3" t="s">
        <v>13</v>
      </c>
      <c r="D23" s="3" t="s">
        <v>14</v>
      </c>
      <c r="E23" s="3" t="s">
        <v>20</v>
      </c>
      <c r="F23" s="3" t="s">
        <v>50</v>
      </c>
      <c r="G23" s="3" t="s">
        <v>21</v>
      </c>
      <c r="H23" s="3">
        <v>5367</v>
      </c>
      <c r="I23" s="3">
        <v>229</v>
      </c>
      <c r="J23" s="3">
        <v>10</v>
      </c>
      <c r="K23" s="12">
        <v>0</v>
      </c>
      <c r="L23" s="9">
        <v>1083.26</v>
      </c>
      <c r="M23" s="16">
        <f t="shared" si="0"/>
        <v>4.2668157257313211E-2</v>
      </c>
      <c r="N23" s="18">
        <f t="shared" si="1"/>
        <v>4.3668122270742356E-2</v>
      </c>
      <c r="O23" s="8">
        <f t="shared" si="2"/>
        <v>0</v>
      </c>
      <c r="P23" s="14">
        <f t="shared" si="3"/>
        <v>1083.26</v>
      </c>
      <c r="Q23" s="16">
        <f t="shared" si="4"/>
        <v>0</v>
      </c>
    </row>
    <row r="24" spans="1:17" x14ac:dyDescent="0.2">
      <c r="A24" s="2">
        <v>45660</v>
      </c>
      <c r="B24" s="3" t="s">
        <v>557</v>
      </c>
      <c r="C24" s="3" t="s">
        <v>45</v>
      </c>
      <c r="D24" s="3" t="s">
        <v>46</v>
      </c>
      <c r="E24" s="3" t="s">
        <v>31</v>
      </c>
      <c r="F24" s="3" t="s">
        <v>16</v>
      </c>
      <c r="G24" s="3" t="s">
        <v>21</v>
      </c>
      <c r="H24" s="3">
        <v>19992</v>
      </c>
      <c r="I24" s="3">
        <v>691</v>
      </c>
      <c r="J24" s="3">
        <v>33</v>
      </c>
      <c r="K24" s="12">
        <v>1242.53</v>
      </c>
      <c r="L24" s="9">
        <v>2170.37</v>
      </c>
      <c r="M24" s="16">
        <f t="shared" si="0"/>
        <v>3.4563825530212082E-2</v>
      </c>
      <c r="N24" s="18">
        <f t="shared" si="1"/>
        <v>4.7756874095513747E-2</v>
      </c>
      <c r="O24" s="8">
        <f t="shared" si="2"/>
        <v>37.652424242424239</v>
      </c>
      <c r="P24" s="14">
        <f t="shared" si="3"/>
        <v>927.83999999999992</v>
      </c>
      <c r="Q24" s="16">
        <f t="shared" si="4"/>
        <v>0.7467344852840575</v>
      </c>
    </row>
    <row r="25" spans="1:17" x14ac:dyDescent="0.2">
      <c r="A25" s="2">
        <v>45660</v>
      </c>
      <c r="B25" s="3" t="s">
        <v>487</v>
      </c>
      <c r="C25" s="3" t="s">
        <v>156</v>
      </c>
      <c r="D25" s="3" t="s">
        <v>46</v>
      </c>
      <c r="E25" s="3" t="s">
        <v>20</v>
      </c>
      <c r="F25" s="3" t="s">
        <v>29</v>
      </c>
      <c r="G25" s="3" t="s">
        <v>21</v>
      </c>
      <c r="H25" s="3">
        <v>8692</v>
      </c>
      <c r="I25" s="3">
        <v>221</v>
      </c>
      <c r="J25" s="3">
        <v>8</v>
      </c>
      <c r="K25" s="12">
        <v>279.02</v>
      </c>
      <c r="L25" s="9">
        <v>501.91</v>
      </c>
      <c r="M25" s="16">
        <f t="shared" si="0"/>
        <v>2.5425678785089736E-2</v>
      </c>
      <c r="N25" s="18">
        <f t="shared" si="1"/>
        <v>3.6199095022624438E-2</v>
      </c>
      <c r="O25" s="8">
        <f t="shared" si="2"/>
        <v>34.877499999999998</v>
      </c>
      <c r="P25" s="14">
        <f t="shared" si="3"/>
        <v>222.89000000000004</v>
      </c>
      <c r="Q25" s="16">
        <f t="shared" si="4"/>
        <v>0.79883162497312044</v>
      </c>
    </row>
    <row r="26" spans="1:17" x14ac:dyDescent="0.2">
      <c r="A26" s="2">
        <v>45660</v>
      </c>
      <c r="B26" s="3" t="s">
        <v>558</v>
      </c>
      <c r="C26" s="3" t="s">
        <v>39</v>
      </c>
      <c r="D26" s="3" t="s">
        <v>28</v>
      </c>
      <c r="E26" s="3" t="s">
        <v>15</v>
      </c>
      <c r="F26" s="3" t="s">
        <v>47</v>
      </c>
      <c r="G26" s="3" t="s">
        <v>17</v>
      </c>
      <c r="H26" s="3">
        <v>22138</v>
      </c>
      <c r="I26" s="3">
        <v>471</v>
      </c>
      <c r="J26" s="3">
        <v>3</v>
      </c>
      <c r="K26" s="12">
        <v>475.73</v>
      </c>
      <c r="L26" s="9">
        <v>196.88</v>
      </c>
      <c r="M26" s="16">
        <f t="shared" si="0"/>
        <v>2.1275634655343753E-2</v>
      </c>
      <c r="N26" s="18">
        <f t="shared" si="1"/>
        <v>6.369426751592357E-3</v>
      </c>
      <c r="O26" s="8">
        <f t="shared" si="2"/>
        <v>158.57666666666668</v>
      </c>
      <c r="P26" s="14">
        <f t="shared" si="3"/>
        <v>-278.85000000000002</v>
      </c>
      <c r="Q26" s="16">
        <f t="shared" si="4"/>
        <v>-0.58615180879910878</v>
      </c>
    </row>
    <row r="27" spans="1:17" x14ac:dyDescent="0.2">
      <c r="A27" s="2">
        <v>45660</v>
      </c>
      <c r="B27" s="3" t="s">
        <v>559</v>
      </c>
      <c r="C27" s="3" t="s">
        <v>54</v>
      </c>
      <c r="D27" s="3" t="s">
        <v>14</v>
      </c>
      <c r="E27" s="3" t="s">
        <v>31</v>
      </c>
      <c r="F27" s="3" t="s">
        <v>47</v>
      </c>
      <c r="G27" s="3" t="s">
        <v>21</v>
      </c>
      <c r="H27" s="3">
        <v>8157</v>
      </c>
      <c r="I27" s="3">
        <v>372</v>
      </c>
      <c r="J27" s="3">
        <v>27</v>
      </c>
      <c r="K27" s="12">
        <v>975.98</v>
      </c>
      <c r="L27" s="9">
        <v>2242.61</v>
      </c>
      <c r="M27" s="16">
        <f t="shared" si="0"/>
        <v>4.5605001838911363E-2</v>
      </c>
      <c r="N27" s="18">
        <f t="shared" si="1"/>
        <v>7.2580645161290328E-2</v>
      </c>
      <c r="O27" s="8">
        <f t="shared" si="2"/>
        <v>36.147407407407407</v>
      </c>
      <c r="P27" s="14">
        <f t="shared" si="3"/>
        <v>1266.6300000000001</v>
      </c>
      <c r="Q27" s="16">
        <f t="shared" si="4"/>
        <v>1.2978032336728214</v>
      </c>
    </row>
    <row r="28" spans="1:17" x14ac:dyDescent="0.2">
      <c r="A28" s="2">
        <v>45660</v>
      </c>
      <c r="B28" s="3" t="s">
        <v>560</v>
      </c>
      <c r="C28" s="3" t="s">
        <v>36</v>
      </c>
      <c r="D28" s="3" t="s">
        <v>37</v>
      </c>
      <c r="E28" s="3" t="s">
        <v>20</v>
      </c>
      <c r="F28" s="3" t="s">
        <v>50</v>
      </c>
      <c r="G28" s="3" t="s">
        <v>17</v>
      </c>
      <c r="H28" s="3">
        <v>2386</v>
      </c>
      <c r="I28" s="3">
        <v>60</v>
      </c>
      <c r="J28" s="3">
        <v>1</v>
      </c>
      <c r="K28" s="12">
        <v>363.25</v>
      </c>
      <c r="L28" s="9">
        <v>178.41</v>
      </c>
      <c r="M28" s="16">
        <f t="shared" si="0"/>
        <v>2.5146689019279127E-2</v>
      </c>
      <c r="N28" s="18">
        <f t="shared" si="1"/>
        <v>1.6666666666666666E-2</v>
      </c>
      <c r="O28" s="8">
        <f t="shared" si="2"/>
        <v>363.25</v>
      </c>
      <c r="P28" s="14">
        <f t="shared" si="3"/>
        <v>-184.84</v>
      </c>
      <c r="Q28" s="16">
        <f t="shared" si="4"/>
        <v>-0.50885065381968342</v>
      </c>
    </row>
    <row r="29" spans="1:17" x14ac:dyDescent="0.2">
      <c r="A29" s="2">
        <v>45660</v>
      </c>
      <c r="B29" s="3" t="s">
        <v>535</v>
      </c>
      <c r="C29" s="3" t="s">
        <v>54</v>
      </c>
      <c r="D29" s="3" t="s">
        <v>14</v>
      </c>
      <c r="E29" s="3" t="s">
        <v>31</v>
      </c>
      <c r="F29" s="3" t="s">
        <v>34</v>
      </c>
      <c r="G29" s="3" t="s">
        <v>17</v>
      </c>
      <c r="H29" s="3">
        <v>9735</v>
      </c>
      <c r="I29" s="3">
        <v>476</v>
      </c>
      <c r="J29" s="3">
        <v>32</v>
      </c>
      <c r="K29" s="12">
        <v>1079.97</v>
      </c>
      <c r="L29" s="9">
        <v>2327.36</v>
      </c>
      <c r="M29" s="16">
        <f t="shared" si="0"/>
        <v>4.8895737031330253E-2</v>
      </c>
      <c r="N29" s="18">
        <f t="shared" si="1"/>
        <v>6.7226890756302518E-2</v>
      </c>
      <c r="O29" s="8">
        <f t="shared" si="2"/>
        <v>33.749062500000001</v>
      </c>
      <c r="P29" s="14">
        <f t="shared" si="3"/>
        <v>1247.3900000000001</v>
      </c>
      <c r="Q29" s="16">
        <f t="shared" si="4"/>
        <v>1.1550228247080938</v>
      </c>
    </row>
    <row r="30" spans="1:17" x14ac:dyDescent="0.2">
      <c r="A30" s="2">
        <v>45660</v>
      </c>
      <c r="B30" s="3" t="s">
        <v>201</v>
      </c>
      <c r="C30" s="3" t="s">
        <v>120</v>
      </c>
      <c r="D30" s="3" t="s">
        <v>14</v>
      </c>
      <c r="E30" s="3" t="s">
        <v>31</v>
      </c>
      <c r="F30" s="3" t="s">
        <v>34</v>
      </c>
      <c r="G30" s="3" t="s">
        <v>17</v>
      </c>
      <c r="H30" s="3">
        <v>9228</v>
      </c>
      <c r="I30" s="3">
        <v>536</v>
      </c>
      <c r="J30" s="3">
        <v>37</v>
      </c>
      <c r="K30" s="12">
        <v>869.2</v>
      </c>
      <c r="L30" s="9">
        <v>4174.21</v>
      </c>
      <c r="M30" s="16">
        <f t="shared" si="0"/>
        <v>5.808409189423494E-2</v>
      </c>
      <c r="N30" s="18">
        <f t="shared" si="1"/>
        <v>6.9029850746268662E-2</v>
      </c>
      <c r="O30" s="8">
        <f t="shared" si="2"/>
        <v>23.491891891891893</v>
      </c>
      <c r="P30" s="14">
        <f t="shared" si="3"/>
        <v>3305.01</v>
      </c>
      <c r="Q30" s="16">
        <f t="shared" si="4"/>
        <v>3.8023584905660379</v>
      </c>
    </row>
    <row r="31" spans="1:17" x14ac:dyDescent="0.2">
      <c r="A31" s="2">
        <v>45660</v>
      </c>
      <c r="B31" s="3" t="s">
        <v>361</v>
      </c>
      <c r="C31" s="3" t="s">
        <v>36</v>
      </c>
      <c r="D31" s="3" t="s">
        <v>37</v>
      </c>
      <c r="E31" s="3" t="s">
        <v>31</v>
      </c>
      <c r="F31" s="3" t="s">
        <v>47</v>
      </c>
      <c r="G31" s="3" t="s">
        <v>17</v>
      </c>
      <c r="H31" s="3">
        <v>4538</v>
      </c>
      <c r="I31" s="3">
        <v>213</v>
      </c>
      <c r="J31" s="3">
        <v>5</v>
      </c>
      <c r="K31" s="12">
        <v>1554.69</v>
      </c>
      <c r="L31" s="9">
        <v>967.29</v>
      </c>
      <c r="M31" s="16">
        <f t="shared" si="0"/>
        <v>4.6936976641692378E-2</v>
      </c>
      <c r="N31" s="18">
        <f t="shared" si="1"/>
        <v>2.3474178403755867E-2</v>
      </c>
      <c r="O31" s="8">
        <f t="shared" si="2"/>
        <v>310.93799999999999</v>
      </c>
      <c r="P31" s="14">
        <f t="shared" si="3"/>
        <v>-587.40000000000009</v>
      </c>
      <c r="Q31" s="16">
        <f t="shared" si="4"/>
        <v>-0.37782451807112677</v>
      </c>
    </row>
    <row r="32" spans="1:17" x14ac:dyDescent="0.2">
      <c r="A32" s="2">
        <v>45661</v>
      </c>
      <c r="B32" s="3" t="s">
        <v>561</v>
      </c>
      <c r="C32" s="3" t="s">
        <v>13</v>
      </c>
      <c r="D32" s="3" t="s">
        <v>14</v>
      </c>
      <c r="E32" s="3" t="s">
        <v>15</v>
      </c>
      <c r="F32" s="3" t="s">
        <v>50</v>
      </c>
      <c r="G32" s="3" t="s">
        <v>21</v>
      </c>
      <c r="H32" s="3">
        <v>7635</v>
      </c>
      <c r="I32" s="3">
        <v>306</v>
      </c>
      <c r="J32" s="3">
        <v>7</v>
      </c>
      <c r="K32" s="12">
        <v>651.70000000000005</v>
      </c>
      <c r="L32" s="9">
        <v>526.25</v>
      </c>
      <c r="M32" s="16">
        <f t="shared" si="0"/>
        <v>4.0078585461689589E-2</v>
      </c>
      <c r="N32" s="18">
        <f t="shared" si="1"/>
        <v>2.2875816993464051E-2</v>
      </c>
      <c r="O32" s="8">
        <f t="shared" si="2"/>
        <v>93.100000000000009</v>
      </c>
      <c r="P32" s="14">
        <f t="shared" si="3"/>
        <v>-125.45000000000005</v>
      </c>
      <c r="Q32" s="16">
        <f t="shared" si="4"/>
        <v>-0.19249654749117698</v>
      </c>
    </row>
    <row r="33" spans="1:17" x14ac:dyDescent="0.2">
      <c r="A33" s="2">
        <v>45661</v>
      </c>
      <c r="B33" s="3" t="s">
        <v>562</v>
      </c>
      <c r="C33" s="3" t="s">
        <v>39</v>
      </c>
      <c r="D33" s="3" t="s">
        <v>28</v>
      </c>
      <c r="E33" s="3" t="s">
        <v>20</v>
      </c>
      <c r="F33" s="3" t="s">
        <v>50</v>
      </c>
      <c r="G33" s="3" t="s">
        <v>21</v>
      </c>
      <c r="H33" s="3">
        <v>28834</v>
      </c>
      <c r="I33" s="3">
        <v>550</v>
      </c>
      <c r="J33" s="3">
        <v>9</v>
      </c>
      <c r="K33" s="12">
        <v>507.4</v>
      </c>
      <c r="L33" s="9">
        <v>575.38</v>
      </c>
      <c r="M33" s="16">
        <f t="shared" si="0"/>
        <v>1.907470347506416E-2</v>
      </c>
      <c r="N33" s="18">
        <f t="shared" si="1"/>
        <v>1.6363636363636365E-2</v>
      </c>
      <c r="O33" s="8">
        <f t="shared" si="2"/>
        <v>56.377777777777773</v>
      </c>
      <c r="P33" s="14">
        <f t="shared" si="3"/>
        <v>67.980000000000018</v>
      </c>
      <c r="Q33" s="16">
        <f t="shared" si="4"/>
        <v>0.13397713835238476</v>
      </c>
    </row>
    <row r="34" spans="1:17" x14ac:dyDescent="0.2">
      <c r="A34" s="2">
        <v>45661</v>
      </c>
      <c r="B34" s="3" t="s">
        <v>209</v>
      </c>
      <c r="C34" s="3" t="s">
        <v>97</v>
      </c>
      <c r="D34" s="3" t="s">
        <v>46</v>
      </c>
      <c r="E34" s="3" t="s">
        <v>20</v>
      </c>
      <c r="F34" s="3" t="s">
        <v>50</v>
      </c>
      <c r="G34" s="3" t="s">
        <v>17</v>
      </c>
      <c r="H34" s="3">
        <v>9113</v>
      </c>
      <c r="I34" s="3">
        <v>320</v>
      </c>
      <c r="J34" s="3">
        <v>6</v>
      </c>
      <c r="K34" s="12">
        <v>510.22</v>
      </c>
      <c r="L34" s="9">
        <v>525.08000000000004</v>
      </c>
      <c r="M34" s="16">
        <f t="shared" si="0"/>
        <v>3.5114671348622846E-2</v>
      </c>
      <c r="N34" s="18">
        <f t="shared" si="1"/>
        <v>1.8749999999999999E-2</v>
      </c>
      <c r="O34" s="8">
        <f t="shared" si="2"/>
        <v>85.036666666666676</v>
      </c>
      <c r="P34" s="14">
        <f t="shared" si="3"/>
        <v>14.860000000000014</v>
      </c>
      <c r="Q34" s="16">
        <f t="shared" si="4"/>
        <v>2.9124691309631166E-2</v>
      </c>
    </row>
    <row r="35" spans="1:17" x14ac:dyDescent="0.2">
      <c r="A35" s="2">
        <v>45661</v>
      </c>
      <c r="B35" s="3" t="s">
        <v>563</v>
      </c>
      <c r="C35" s="3" t="s">
        <v>27</v>
      </c>
      <c r="D35" s="3" t="s">
        <v>28</v>
      </c>
      <c r="E35" s="3" t="s">
        <v>15</v>
      </c>
      <c r="F35" s="3" t="s">
        <v>47</v>
      </c>
      <c r="G35" s="3" t="s">
        <v>17</v>
      </c>
      <c r="H35" s="3">
        <v>25751</v>
      </c>
      <c r="I35" s="3">
        <v>535</v>
      </c>
      <c r="J35" s="3">
        <v>6</v>
      </c>
      <c r="K35" s="12">
        <v>468.81</v>
      </c>
      <c r="L35" s="9">
        <v>262.91000000000003</v>
      </c>
      <c r="M35" s="16">
        <f t="shared" si="0"/>
        <v>2.0775892198361227E-2</v>
      </c>
      <c r="N35" s="18">
        <f t="shared" si="1"/>
        <v>1.1214953271028037E-2</v>
      </c>
      <c r="O35" s="8">
        <f t="shared" si="2"/>
        <v>78.135000000000005</v>
      </c>
      <c r="P35" s="14">
        <f t="shared" si="3"/>
        <v>-205.89999999999998</v>
      </c>
      <c r="Q35" s="16">
        <f t="shared" si="4"/>
        <v>-0.43919711610247214</v>
      </c>
    </row>
    <row r="36" spans="1:17" x14ac:dyDescent="0.2">
      <c r="A36" s="2">
        <v>45661</v>
      </c>
      <c r="B36" s="3" t="s">
        <v>246</v>
      </c>
      <c r="C36" s="3" t="s">
        <v>41</v>
      </c>
      <c r="D36" s="3" t="s">
        <v>24</v>
      </c>
      <c r="E36" s="3" t="s">
        <v>31</v>
      </c>
      <c r="F36" s="3" t="s">
        <v>47</v>
      </c>
      <c r="G36" s="3" t="s">
        <v>21</v>
      </c>
      <c r="H36" s="3">
        <v>1945</v>
      </c>
      <c r="I36" s="3">
        <v>168</v>
      </c>
      <c r="J36" s="3">
        <v>26</v>
      </c>
      <c r="K36" s="12">
        <v>64.75</v>
      </c>
      <c r="L36" s="9">
        <v>4124.07</v>
      </c>
      <c r="M36" s="16">
        <f t="shared" si="0"/>
        <v>8.637532133676093E-2</v>
      </c>
      <c r="N36" s="18">
        <f t="shared" si="1"/>
        <v>0.15476190476190477</v>
      </c>
      <c r="O36" s="8">
        <f t="shared" si="2"/>
        <v>2.4903846153846154</v>
      </c>
      <c r="P36" s="14">
        <f t="shared" si="3"/>
        <v>4059.3199999999997</v>
      </c>
      <c r="Q36" s="16">
        <f t="shared" si="4"/>
        <v>62.692200772200771</v>
      </c>
    </row>
    <row r="37" spans="1:17" x14ac:dyDescent="0.2">
      <c r="A37" s="2">
        <v>45661</v>
      </c>
      <c r="B37" s="3" t="s">
        <v>564</v>
      </c>
      <c r="C37" s="3" t="s">
        <v>41</v>
      </c>
      <c r="D37" s="3" t="s">
        <v>24</v>
      </c>
      <c r="E37" s="3" t="s">
        <v>15</v>
      </c>
      <c r="F37" s="3" t="s">
        <v>50</v>
      </c>
      <c r="G37" s="3" t="s">
        <v>21</v>
      </c>
      <c r="H37" s="3">
        <v>2413</v>
      </c>
      <c r="I37" s="3">
        <v>219</v>
      </c>
      <c r="J37" s="3">
        <v>26</v>
      </c>
      <c r="K37" s="12">
        <v>111.37</v>
      </c>
      <c r="L37" s="9">
        <v>3247.56</v>
      </c>
      <c r="M37" s="16">
        <f t="shared" si="0"/>
        <v>9.0758392043099878E-2</v>
      </c>
      <c r="N37" s="18">
        <f t="shared" si="1"/>
        <v>0.11872146118721461</v>
      </c>
      <c r="O37" s="8">
        <f t="shared" si="2"/>
        <v>4.2834615384615384</v>
      </c>
      <c r="P37" s="14">
        <f t="shared" si="3"/>
        <v>3136.19</v>
      </c>
      <c r="Q37" s="16">
        <f t="shared" si="4"/>
        <v>28.160096974050461</v>
      </c>
    </row>
    <row r="38" spans="1:17" x14ac:dyDescent="0.2">
      <c r="A38" s="2">
        <v>45661</v>
      </c>
      <c r="B38" s="3" t="s">
        <v>292</v>
      </c>
      <c r="C38" s="3" t="s">
        <v>120</v>
      </c>
      <c r="D38" s="3" t="s">
        <v>14</v>
      </c>
      <c r="E38" s="3" t="s">
        <v>20</v>
      </c>
      <c r="F38" s="3" t="s">
        <v>50</v>
      </c>
      <c r="G38" s="3" t="s">
        <v>17</v>
      </c>
      <c r="H38" s="3">
        <v>11309</v>
      </c>
      <c r="I38" s="3">
        <v>714</v>
      </c>
      <c r="J38" s="3">
        <v>20</v>
      </c>
      <c r="K38" s="12">
        <v>1643.17</v>
      </c>
      <c r="L38" s="9">
        <v>1615.28</v>
      </c>
      <c r="M38" s="16">
        <f t="shared" si="0"/>
        <v>6.3135555752055886E-2</v>
      </c>
      <c r="N38" s="18">
        <f t="shared" si="1"/>
        <v>2.8011204481792718E-2</v>
      </c>
      <c r="O38" s="8">
        <f t="shared" si="2"/>
        <v>82.158500000000004</v>
      </c>
      <c r="P38" s="14">
        <f t="shared" si="3"/>
        <v>-27.8900000000001</v>
      </c>
      <c r="Q38" s="16">
        <f t="shared" si="4"/>
        <v>-1.6973289434446891E-2</v>
      </c>
    </row>
    <row r="39" spans="1:17" x14ac:dyDescent="0.2">
      <c r="A39" s="2">
        <v>45661</v>
      </c>
      <c r="B39" s="3" t="s">
        <v>565</v>
      </c>
      <c r="C39" s="3" t="s">
        <v>52</v>
      </c>
      <c r="D39" s="3" t="s">
        <v>24</v>
      </c>
      <c r="E39" s="3" t="s">
        <v>20</v>
      </c>
      <c r="F39" s="3" t="s">
        <v>29</v>
      </c>
      <c r="G39" s="3" t="s">
        <v>17</v>
      </c>
      <c r="H39" s="3">
        <v>2136</v>
      </c>
      <c r="I39" s="3">
        <v>210</v>
      </c>
      <c r="J39" s="3">
        <v>17</v>
      </c>
      <c r="K39" s="12">
        <v>51.64</v>
      </c>
      <c r="L39" s="9">
        <v>2221.08</v>
      </c>
      <c r="M39" s="16">
        <f t="shared" si="0"/>
        <v>9.8314606741573038E-2</v>
      </c>
      <c r="N39" s="18">
        <f t="shared" si="1"/>
        <v>8.0952380952380956E-2</v>
      </c>
      <c r="O39" s="8">
        <f t="shared" si="2"/>
        <v>3.0376470588235294</v>
      </c>
      <c r="P39" s="14">
        <f t="shared" si="3"/>
        <v>2169.44</v>
      </c>
      <c r="Q39" s="16">
        <f t="shared" si="4"/>
        <v>42.01084430673896</v>
      </c>
    </row>
    <row r="40" spans="1:17" x14ac:dyDescent="0.2">
      <c r="A40" s="2">
        <v>45661</v>
      </c>
      <c r="B40" s="3" t="s">
        <v>566</v>
      </c>
      <c r="C40" s="3" t="s">
        <v>97</v>
      </c>
      <c r="D40" s="3" t="s">
        <v>46</v>
      </c>
      <c r="E40" s="3" t="s">
        <v>20</v>
      </c>
      <c r="F40" s="3" t="s">
        <v>16</v>
      </c>
      <c r="G40" s="3" t="s">
        <v>17</v>
      </c>
      <c r="H40" s="4">
        <v>14113</v>
      </c>
      <c r="I40" s="3">
        <v>443</v>
      </c>
      <c r="J40" s="3">
        <v>13</v>
      </c>
      <c r="K40" s="12">
        <v>432.89</v>
      </c>
      <c r="L40" s="9">
        <v>817.78</v>
      </c>
      <c r="M40" s="16">
        <f t="shared" si="0"/>
        <v>3.1389499043435132E-2</v>
      </c>
      <c r="N40" s="18">
        <f t="shared" si="1"/>
        <v>2.9345372460496615E-2</v>
      </c>
      <c r="O40" s="8">
        <f t="shared" si="2"/>
        <v>33.299230769230768</v>
      </c>
      <c r="P40" s="14">
        <f t="shared" si="3"/>
        <v>384.89</v>
      </c>
      <c r="Q40" s="16">
        <f t="shared" si="4"/>
        <v>0.88911732772759822</v>
      </c>
    </row>
    <row r="41" spans="1:17" x14ac:dyDescent="0.2">
      <c r="A41" s="2">
        <v>45661</v>
      </c>
      <c r="B41" s="3" t="s">
        <v>337</v>
      </c>
      <c r="C41" s="3" t="s">
        <v>97</v>
      </c>
      <c r="D41" s="3" t="s">
        <v>46</v>
      </c>
      <c r="E41" s="3" t="s">
        <v>20</v>
      </c>
      <c r="F41" s="3" t="s">
        <v>50</v>
      </c>
      <c r="G41" s="3" t="s">
        <v>17</v>
      </c>
      <c r="H41" s="4">
        <v>18801</v>
      </c>
      <c r="I41" s="3">
        <v>609</v>
      </c>
      <c r="J41" s="3">
        <v>15</v>
      </c>
      <c r="K41" s="12">
        <v>799.48</v>
      </c>
      <c r="L41" s="10">
        <v>1310.33</v>
      </c>
      <c r="M41" s="16">
        <f t="shared" si="0"/>
        <v>3.2391894048188929E-2</v>
      </c>
      <c r="N41" s="18">
        <f t="shared" si="1"/>
        <v>2.4630541871921183E-2</v>
      </c>
      <c r="O41" s="8">
        <f t="shared" si="2"/>
        <v>53.298666666666669</v>
      </c>
      <c r="P41" s="14">
        <f t="shared" si="3"/>
        <v>510.84999999999991</v>
      </c>
      <c r="Q41" s="16">
        <f t="shared" si="4"/>
        <v>0.63897783559313537</v>
      </c>
    </row>
    <row r="42" spans="1:17" x14ac:dyDescent="0.2">
      <c r="A42" s="2">
        <v>45661</v>
      </c>
      <c r="B42" s="3" t="s">
        <v>567</v>
      </c>
      <c r="C42" s="3" t="s">
        <v>19</v>
      </c>
      <c r="D42" s="3" t="s">
        <v>14</v>
      </c>
      <c r="E42" s="3" t="s">
        <v>31</v>
      </c>
      <c r="F42" s="3" t="s">
        <v>47</v>
      </c>
      <c r="G42" s="3" t="s">
        <v>21</v>
      </c>
      <c r="H42" s="4">
        <v>5710</v>
      </c>
      <c r="I42" s="3">
        <v>249</v>
      </c>
      <c r="J42" s="3">
        <v>17</v>
      </c>
      <c r="K42" s="12">
        <v>722.5</v>
      </c>
      <c r="L42" s="10">
        <v>1570.28</v>
      </c>
      <c r="M42" s="16">
        <f t="shared" si="0"/>
        <v>4.3607705779334503E-2</v>
      </c>
      <c r="N42" s="18">
        <f t="shared" si="1"/>
        <v>6.8273092369477914E-2</v>
      </c>
      <c r="O42" s="8">
        <f t="shared" si="2"/>
        <v>42.5</v>
      </c>
      <c r="P42" s="14">
        <f t="shared" si="3"/>
        <v>847.78</v>
      </c>
      <c r="Q42" s="16">
        <f t="shared" si="4"/>
        <v>1.1733979238754324</v>
      </c>
    </row>
    <row r="43" spans="1:17" x14ac:dyDescent="0.2">
      <c r="A43" s="2">
        <v>45661</v>
      </c>
      <c r="B43" s="3" t="s">
        <v>122</v>
      </c>
      <c r="C43" s="3" t="s">
        <v>41</v>
      </c>
      <c r="D43" s="3" t="s">
        <v>24</v>
      </c>
      <c r="E43" s="3" t="s">
        <v>20</v>
      </c>
      <c r="F43" s="3" t="s">
        <v>29</v>
      </c>
      <c r="G43" s="3" t="s">
        <v>17</v>
      </c>
      <c r="H43" s="4">
        <v>2735</v>
      </c>
      <c r="I43" s="3">
        <v>343</v>
      </c>
      <c r="J43" s="3">
        <v>29</v>
      </c>
      <c r="K43" s="12">
        <v>71.73</v>
      </c>
      <c r="L43" s="10">
        <v>2792.69</v>
      </c>
      <c r="M43" s="16">
        <f t="shared" si="0"/>
        <v>0.12541133455210238</v>
      </c>
      <c r="N43" s="18">
        <f t="shared" si="1"/>
        <v>8.4548104956268216E-2</v>
      </c>
      <c r="O43" s="8">
        <f t="shared" si="2"/>
        <v>2.4734482758620691</v>
      </c>
      <c r="P43" s="14">
        <f t="shared" si="3"/>
        <v>2720.96</v>
      </c>
      <c r="Q43" s="16">
        <f t="shared" si="4"/>
        <v>37.933361215669869</v>
      </c>
    </row>
    <row r="44" spans="1:17" x14ac:dyDescent="0.2">
      <c r="A44" s="2">
        <v>45661</v>
      </c>
      <c r="B44" s="3" t="s">
        <v>568</v>
      </c>
      <c r="C44" s="3" t="s">
        <v>52</v>
      </c>
      <c r="D44" s="3" t="s">
        <v>24</v>
      </c>
      <c r="E44" s="3" t="s">
        <v>20</v>
      </c>
      <c r="F44" s="3" t="s">
        <v>50</v>
      </c>
      <c r="G44" s="3" t="s">
        <v>21</v>
      </c>
      <c r="H44" s="4">
        <v>2549</v>
      </c>
      <c r="I44" s="3">
        <v>347</v>
      </c>
      <c r="J44" s="3">
        <v>60</v>
      </c>
      <c r="K44" s="12">
        <v>175.13</v>
      </c>
      <c r="L44" s="10">
        <v>6838.95</v>
      </c>
      <c r="M44" s="16">
        <f t="shared" si="0"/>
        <v>0.13613181639858768</v>
      </c>
      <c r="N44" s="18">
        <f t="shared" si="1"/>
        <v>0.1729106628242075</v>
      </c>
      <c r="O44" s="8">
        <f t="shared" si="2"/>
        <v>2.9188333333333332</v>
      </c>
      <c r="P44" s="14">
        <f t="shared" si="3"/>
        <v>6663.82</v>
      </c>
      <c r="Q44" s="16">
        <f t="shared" si="4"/>
        <v>38.050705190429966</v>
      </c>
    </row>
    <row r="45" spans="1:17" x14ac:dyDescent="0.2">
      <c r="A45" s="2">
        <v>45661</v>
      </c>
      <c r="B45" s="3" t="s">
        <v>569</v>
      </c>
      <c r="C45" s="3" t="s">
        <v>19</v>
      </c>
      <c r="D45" s="3" t="s">
        <v>14</v>
      </c>
      <c r="E45" s="3" t="s">
        <v>15</v>
      </c>
      <c r="F45" s="3" t="s">
        <v>29</v>
      </c>
      <c r="G45" s="3" t="s">
        <v>25</v>
      </c>
      <c r="H45" s="4">
        <v>14591</v>
      </c>
      <c r="I45" s="3">
        <v>506</v>
      </c>
      <c r="J45" s="3">
        <v>13</v>
      </c>
      <c r="K45" s="12">
        <v>954.55</v>
      </c>
      <c r="L45" s="10">
        <v>1055.2</v>
      </c>
      <c r="M45" s="16">
        <f t="shared" si="0"/>
        <v>3.4678911657871292E-2</v>
      </c>
      <c r="N45" s="18">
        <f t="shared" si="1"/>
        <v>2.5691699604743084E-2</v>
      </c>
      <c r="O45" s="8">
        <f t="shared" si="2"/>
        <v>73.426923076923075</v>
      </c>
      <c r="P45" s="14">
        <f t="shared" si="3"/>
        <v>100.65000000000009</v>
      </c>
      <c r="Q45" s="16">
        <f t="shared" si="4"/>
        <v>0.10544235503640469</v>
      </c>
    </row>
    <row r="46" spans="1:17" x14ac:dyDescent="0.2">
      <c r="A46" s="2">
        <v>45661</v>
      </c>
      <c r="B46" s="3" t="s">
        <v>570</v>
      </c>
      <c r="C46" s="3" t="s">
        <v>58</v>
      </c>
      <c r="D46" s="3" t="s">
        <v>37</v>
      </c>
      <c r="E46" s="3" t="s">
        <v>31</v>
      </c>
      <c r="F46" s="3" t="s">
        <v>50</v>
      </c>
      <c r="G46" s="3" t="s">
        <v>17</v>
      </c>
      <c r="H46" s="4">
        <v>6020</v>
      </c>
      <c r="I46" s="3">
        <v>316</v>
      </c>
      <c r="J46" s="3">
        <v>7</v>
      </c>
      <c r="K46" s="12">
        <v>1911.46</v>
      </c>
      <c r="L46" s="10">
        <v>877.59</v>
      </c>
      <c r="M46" s="16">
        <f t="shared" si="0"/>
        <v>5.2491694352159467E-2</v>
      </c>
      <c r="N46" s="18">
        <f t="shared" si="1"/>
        <v>2.2151898734177215E-2</v>
      </c>
      <c r="O46" s="8">
        <f t="shared" si="2"/>
        <v>273.06571428571431</v>
      </c>
      <c r="P46" s="14">
        <f t="shared" si="3"/>
        <v>-1033.8699999999999</v>
      </c>
      <c r="Q46" s="16">
        <f t="shared" si="4"/>
        <v>-0.54087974637188319</v>
      </c>
    </row>
    <row r="47" spans="1:17" x14ac:dyDescent="0.2">
      <c r="A47" s="2">
        <v>45662</v>
      </c>
      <c r="B47" s="3" t="s">
        <v>147</v>
      </c>
      <c r="C47" s="3" t="s">
        <v>74</v>
      </c>
      <c r="D47" s="3" t="s">
        <v>28</v>
      </c>
      <c r="E47" s="3" t="s">
        <v>20</v>
      </c>
      <c r="F47" s="3" t="s">
        <v>34</v>
      </c>
      <c r="G47" s="3" t="s">
        <v>17</v>
      </c>
      <c r="H47" s="4">
        <v>21151</v>
      </c>
      <c r="I47" s="3">
        <v>210</v>
      </c>
      <c r="J47" s="3">
        <v>3</v>
      </c>
      <c r="K47" s="12">
        <v>166.72</v>
      </c>
      <c r="L47" s="10">
        <v>133.38999999999999</v>
      </c>
      <c r="M47" s="16">
        <f t="shared" si="0"/>
        <v>9.9286085764266462E-3</v>
      </c>
      <c r="N47" s="18">
        <f t="shared" si="1"/>
        <v>1.4285714285714285E-2</v>
      </c>
      <c r="O47" s="8">
        <f t="shared" si="2"/>
        <v>55.573333333333331</v>
      </c>
      <c r="P47" s="14">
        <f t="shared" si="3"/>
        <v>-33.330000000000013</v>
      </c>
      <c r="Q47" s="16">
        <f t="shared" si="4"/>
        <v>-0.19991602687140123</v>
      </c>
    </row>
    <row r="48" spans="1:17" x14ac:dyDescent="0.2">
      <c r="A48" s="2">
        <v>45662</v>
      </c>
      <c r="B48" s="3" t="s">
        <v>297</v>
      </c>
      <c r="C48" s="3" t="s">
        <v>23</v>
      </c>
      <c r="D48" s="3" t="s">
        <v>24</v>
      </c>
      <c r="E48" s="3" t="s">
        <v>20</v>
      </c>
      <c r="F48" s="3" t="s">
        <v>50</v>
      </c>
      <c r="G48" s="3" t="s">
        <v>21</v>
      </c>
      <c r="H48" s="4">
        <v>2636</v>
      </c>
      <c r="I48" s="3">
        <v>222</v>
      </c>
      <c r="J48" s="3">
        <v>32</v>
      </c>
      <c r="K48" s="12">
        <v>63.8</v>
      </c>
      <c r="L48" s="10">
        <v>4639.57</v>
      </c>
      <c r="M48" s="16">
        <f t="shared" si="0"/>
        <v>8.4218512898330808E-2</v>
      </c>
      <c r="N48" s="18">
        <f t="shared" si="1"/>
        <v>0.14414414414414414</v>
      </c>
      <c r="O48" s="8">
        <f t="shared" si="2"/>
        <v>1.9937499999999999</v>
      </c>
      <c r="P48" s="14">
        <f t="shared" si="3"/>
        <v>4575.7699999999995</v>
      </c>
      <c r="Q48" s="16">
        <f t="shared" si="4"/>
        <v>71.720532915360494</v>
      </c>
    </row>
    <row r="49" spans="1:17" x14ac:dyDescent="0.2">
      <c r="A49" s="2">
        <v>45662</v>
      </c>
      <c r="B49" s="3" t="s">
        <v>347</v>
      </c>
      <c r="C49" s="3" t="s">
        <v>43</v>
      </c>
      <c r="D49" s="3" t="s">
        <v>37</v>
      </c>
      <c r="E49" s="3" t="s">
        <v>31</v>
      </c>
      <c r="F49" s="3" t="s">
        <v>29</v>
      </c>
      <c r="G49" s="3" t="s">
        <v>25</v>
      </c>
      <c r="H49" s="4">
        <v>6397</v>
      </c>
      <c r="I49" s="3">
        <v>202</v>
      </c>
      <c r="J49" s="3">
        <v>5</v>
      </c>
      <c r="K49" s="12">
        <v>1189.75</v>
      </c>
      <c r="L49" s="10">
        <v>744.32</v>
      </c>
      <c r="M49" s="16">
        <f t="shared" si="0"/>
        <v>3.1577301860246994E-2</v>
      </c>
      <c r="N49" s="18">
        <f t="shared" si="1"/>
        <v>2.4752475247524754E-2</v>
      </c>
      <c r="O49" s="8">
        <f t="shared" si="2"/>
        <v>237.95</v>
      </c>
      <c r="P49" s="14">
        <f t="shared" si="3"/>
        <v>-445.42999999999995</v>
      </c>
      <c r="Q49" s="16">
        <f t="shared" si="4"/>
        <v>-0.3743895776423618</v>
      </c>
    </row>
    <row r="50" spans="1:17" x14ac:dyDescent="0.2">
      <c r="A50" s="2">
        <v>45662</v>
      </c>
      <c r="B50" s="3" t="s">
        <v>255</v>
      </c>
      <c r="C50" s="3" t="s">
        <v>43</v>
      </c>
      <c r="D50" s="3" t="s">
        <v>37</v>
      </c>
      <c r="E50" s="3" t="s">
        <v>20</v>
      </c>
      <c r="F50" s="3" t="s">
        <v>16</v>
      </c>
      <c r="G50" s="3" t="s">
        <v>17</v>
      </c>
      <c r="H50" s="4">
        <v>5683</v>
      </c>
      <c r="I50" s="3">
        <v>191</v>
      </c>
      <c r="J50" s="3">
        <v>3</v>
      </c>
      <c r="K50" s="12">
        <v>0</v>
      </c>
      <c r="L50" s="10">
        <v>488.05</v>
      </c>
      <c r="M50" s="16">
        <f t="shared" si="0"/>
        <v>3.3609009326060181E-2</v>
      </c>
      <c r="N50" s="18">
        <f t="shared" si="1"/>
        <v>1.5706806282722512E-2</v>
      </c>
      <c r="O50" s="8">
        <f t="shared" si="2"/>
        <v>0</v>
      </c>
      <c r="P50" s="14">
        <f t="shared" si="3"/>
        <v>488.05</v>
      </c>
      <c r="Q50" s="16">
        <f t="shared" si="4"/>
        <v>0</v>
      </c>
    </row>
    <row r="51" spans="1:17" x14ac:dyDescent="0.2">
      <c r="A51" s="2">
        <v>45662</v>
      </c>
      <c r="B51" s="3" t="s">
        <v>571</v>
      </c>
      <c r="C51" s="3" t="s">
        <v>74</v>
      </c>
      <c r="D51" s="3" t="s">
        <v>28</v>
      </c>
      <c r="E51" s="3" t="s">
        <v>31</v>
      </c>
      <c r="F51" s="3" t="s">
        <v>47</v>
      </c>
      <c r="G51" s="3" t="s">
        <v>17</v>
      </c>
      <c r="H51" s="4">
        <v>32669</v>
      </c>
      <c r="I51" s="3">
        <v>1069</v>
      </c>
      <c r="J51" s="3">
        <v>13</v>
      </c>
      <c r="K51" s="12">
        <v>1440.57</v>
      </c>
      <c r="L51" s="10">
        <v>815.76</v>
      </c>
      <c r="M51" s="16">
        <f t="shared" si="0"/>
        <v>3.272215249931127E-2</v>
      </c>
      <c r="N51" s="18">
        <f t="shared" si="1"/>
        <v>1.216089803554724E-2</v>
      </c>
      <c r="O51" s="8">
        <f t="shared" si="2"/>
        <v>110.81307692307692</v>
      </c>
      <c r="P51" s="14">
        <f t="shared" si="3"/>
        <v>-624.80999999999995</v>
      </c>
      <c r="Q51" s="16">
        <f t="shared" si="4"/>
        <v>-0.43372415085695243</v>
      </c>
    </row>
    <row r="52" spans="1:17" x14ac:dyDescent="0.2">
      <c r="A52" s="2">
        <v>45662</v>
      </c>
      <c r="B52" s="3" t="s">
        <v>572</v>
      </c>
      <c r="C52" s="3" t="s">
        <v>13</v>
      </c>
      <c r="D52" s="3" t="s">
        <v>14</v>
      </c>
      <c r="E52" s="3" t="s">
        <v>20</v>
      </c>
      <c r="F52" s="3" t="s">
        <v>47</v>
      </c>
      <c r="G52" s="3" t="s">
        <v>21</v>
      </c>
      <c r="H52" s="4">
        <v>13491</v>
      </c>
      <c r="I52" s="3">
        <v>479</v>
      </c>
      <c r="J52" s="3">
        <v>14</v>
      </c>
      <c r="K52" s="12">
        <v>1173.53</v>
      </c>
      <c r="L52" s="10">
        <v>1594.82</v>
      </c>
      <c r="M52" s="16">
        <f t="shared" si="0"/>
        <v>3.5505151582536504E-2</v>
      </c>
      <c r="N52" s="18">
        <f t="shared" si="1"/>
        <v>2.9227557411273485E-2</v>
      </c>
      <c r="O52" s="8">
        <f t="shared" si="2"/>
        <v>83.823571428571427</v>
      </c>
      <c r="P52" s="14">
        <f t="shared" si="3"/>
        <v>421.28999999999996</v>
      </c>
      <c r="Q52" s="16">
        <f t="shared" si="4"/>
        <v>0.35899380501563655</v>
      </c>
    </row>
    <row r="53" spans="1:17" x14ac:dyDescent="0.2">
      <c r="A53" s="2">
        <v>45662</v>
      </c>
      <c r="B53" s="3" t="s">
        <v>92</v>
      </c>
      <c r="C53" s="3" t="s">
        <v>13</v>
      </c>
      <c r="D53" s="3" t="s">
        <v>14</v>
      </c>
      <c r="E53" s="3" t="s">
        <v>20</v>
      </c>
      <c r="F53" s="3" t="s">
        <v>50</v>
      </c>
      <c r="G53" s="3" t="s">
        <v>17</v>
      </c>
      <c r="H53" s="4">
        <v>5950</v>
      </c>
      <c r="I53" s="3">
        <v>311</v>
      </c>
      <c r="J53" s="3">
        <v>11</v>
      </c>
      <c r="K53" s="12">
        <v>724.91</v>
      </c>
      <c r="L53" s="10">
        <v>1004.94</v>
      </c>
      <c r="M53" s="16">
        <f t="shared" si="0"/>
        <v>5.2268907563025213E-2</v>
      </c>
      <c r="N53" s="18">
        <f t="shared" si="1"/>
        <v>3.5369774919614148E-2</v>
      </c>
      <c r="O53" s="8">
        <f t="shared" si="2"/>
        <v>65.900909090909082</v>
      </c>
      <c r="P53" s="14">
        <f t="shared" si="3"/>
        <v>280.03000000000009</v>
      </c>
      <c r="Q53" s="16">
        <f t="shared" si="4"/>
        <v>0.38629622987681245</v>
      </c>
    </row>
    <row r="54" spans="1:17" x14ac:dyDescent="0.2">
      <c r="A54" s="2">
        <v>45662</v>
      </c>
      <c r="B54" s="3" t="s">
        <v>484</v>
      </c>
      <c r="C54" s="3" t="s">
        <v>156</v>
      </c>
      <c r="D54" s="3" t="s">
        <v>46</v>
      </c>
      <c r="E54" s="3" t="s">
        <v>20</v>
      </c>
      <c r="F54" s="3" t="s">
        <v>16</v>
      </c>
      <c r="G54" s="3" t="s">
        <v>17</v>
      </c>
      <c r="H54" s="3">
        <v>16579</v>
      </c>
      <c r="I54" s="3">
        <v>561</v>
      </c>
      <c r="J54" s="3">
        <v>8</v>
      </c>
      <c r="K54" s="12">
        <v>555.66999999999996</v>
      </c>
      <c r="L54" s="10">
        <v>641.65</v>
      </c>
      <c r="M54" s="16">
        <f t="shared" si="0"/>
        <v>3.3837987815911692E-2</v>
      </c>
      <c r="N54" s="18">
        <f t="shared" si="1"/>
        <v>1.4260249554367201E-2</v>
      </c>
      <c r="O54" s="8">
        <f t="shared" si="2"/>
        <v>69.458749999999995</v>
      </c>
      <c r="P54" s="14">
        <f t="shared" si="3"/>
        <v>85.980000000000018</v>
      </c>
      <c r="Q54" s="16">
        <f t="shared" si="4"/>
        <v>0.15473212518221252</v>
      </c>
    </row>
    <row r="55" spans="1:17" x14ac:dyDescent="0.2">
      <c r="A55" s="2">
        <v>45662</v>
      </c>
      <c r="B55" s="3" t="s">
        <v>483</v>
      </c>
      <c r="C55" s="3" t="s">
        <v>19</v>
      </c>
      <c r="D55" s="3" t="s">
        <v>14</v>
      </c>
      <c r="E55" s="3" t="s">
        <v>20</v>
      </c>
      <c r="F55" s="3" t="s">
        <v>29</v>
      </c>
      <c r="G55" s="3" t="s">
        <v>21</v>
      </c>
      <c r="H55" s="3">
        <v>5702</v>
      </c>
      <c r="I55" s="3">
        <v>164</v>
      </c>
      <c r="J55" s="3">
        <v>5</v>
      </c>
      <c r="K55" s="12">
        <v>473.57</v>
      </c>
      <c r="L55" s="10">
        <v>359.91</v>
      </c>
      <c r="M55" s="16">
        <f t="shared" si="0"/>
        <v>2.8761837951595932E-2</v>
      </c>
      <c r="N55" s="18">
        <f t="shared" si="1"/>
        <v>3.048780487804878E-2</v>
      </c>
      <c r="O55" s="8">
        <f t="shared" si="2"/>
        <v>94.713999999999999</v>
      </c>
      <c r="P55" s="14">
        <f t="shared" si="3"/>
        <v>-113.65999999999997</v>
      </c>
      <c r="Q55" s="16">
        <f t="shared" si="4"/>
        <v>-0.24000675718478781</v>
      </c>
    </row>
    <row r="56" spans="1:17" x14ac:dyDescent="0.2">
      <c r="A56" s="2">
        <v>45662</v>
      </c>
      <c r="B56" s="3" t="s">
        <v>523</v>
      </c>
      <c r="C56" s="3" t="s">
        <v>13</v>
      </c>
      <c r="D56" s="3" t="s">
        <v>14</v>
      </c>
      <c r="E56" s="3" t="s">
        <v>15</v>
      </c>
      <c r="F56" s="3" t="s">
        <v>50</v>
      </c>
      <c r="G56" s="3" t="s">
        <v>21</v>
      </c>
      <c r="H56" s="3">
        <v>5404</v>
      </c>
      <c r="I56" s="3">
        <v>179</v>
      </c>
      <c r="J56" s="3">
        <v>5</v>
      </c>
      <c r="K56" s="12">
        <v>499.93</v>
      </c>
      <c r="L56" s="10">
        <v>397.43</v>
      </c>
      <c r="M56" s="16">
        <f t="shared" si="0"/>
        <v>3.3123612139156183E-2</v>
      </c>
      <c r="N56" s="18">
        <f t="shared" si="1"/>
        <v>2.7932960893854747E-2</v>
      </c>
      <c r="O56" s="8">
        <f t="shared" si="2"/>
        <v>99.986000000000004</v>
      </c>
      <c r="P56" s="14">
        <f t="shared" si="3"/>
        <v>-102.5</v>
      </c>
      <c r="Q56" s="16">
        <f t="shared" si="4"/>
        <v>-0.2050287040185626</v>
      </c>
    </row>
    <row r="57" spans="1:17" x14ac:dyDescent="0.2">
      <c r="A57" s="2">
        <v>45662</v>
      </c>
      <c r="B57" s="3" t="s">
        <v>573</v>
      </c>
      <c r="C57" s="3" t="s">
        <v>49</v>
      </c>
      <c r="D57" s="3" t="s">
        <v>46</v>
      </c>
      <c r="E57" s="3" t="s">
        <v>15</v>
      </c>
      <c r="F57" s="3" t="s">
        <v>16</v>
      </c>
      <c r="G57" s="3" t="s">
        <v>17</v>
      </c>
      <c r="H57" s="3">
        <v>13129</v>
      </c>
      <c r="I57" s="3">
        <v>381</v>
      </c>
      <c r="J57" s="3">
        <v>4</v>
      </c>
      <c r="K57" s="12">
        <v>650.54999999999995</v>
      </c>
      <c r="L57" s="10">
        <v>324.76</v>
      </c>
      <c r="M57" s="16">
        <f t="shared" si="0"/>
        <v>2.9019727321197349E-2</v>
      </c>
      <c r="N57" s="18">
        <f t="shared" si="1"/>
        <v>1.0498687664041995E-2</v>
      </c>
      <c r="O57" s="8">
        <f t="shared" si="2"/>
        <v>162.63749999999999</v>
      </c>
      <c r="P57" s="14">
        <f t="shared" si="3"/>
        <v>-325.78999999999996</v>
      </c>
      <c r="Q57" s="16">
        <f t="shared" si="4"/>
        <v>-0.50079163784490044</v>
      </c>
    </row>
    <row r="58" spans="1:17" x14ac:dyDescent="0.2">
      <c r="A58" s="2">
        <v>45663</v>
      </c>
      <c r="B58" s="3" t="s">
        <v>574</v>
      </c>
      <c r="C58" s="3" t="s">
        <v>45</v>
      </c>
      <c r="D58" s="3" t="s">
        <v>46</v>
      </c>
      <c r="E58" s="3" t="s">
        <v>20</v>
      </c>
      <c r="F58" s="3" t="s">
        <v>47</v>
      </c>
      <c r="G58" s="3" t="s">
        <v>17</v>
      </c>
      <c r="H58" s="3">
        <v>19886</v>
      </c>
      <c r="I58" s="3">
        <v>851</v>
      </c>
      <c r="J58" s="3">
        <v>19</v>
      </c>
      <c r="K58" s="12">
        <v>1171.42</v>
      </c>
      <c r="L58" s="10">
        <v>1175.83</v>
      </c>
      <c r="M58" s="16">
        <f t="shared" si="0"/>
        <v>4.2793925374635423E-2</v>
      </c>
      <c r="N58" s="18">
        <f t="shared" si="1"/>
        <v>2.2326674500587545E-2</v>
      </c>
      <c r="O58" s="8">
        <f t="shared" si="2"/>
        <v>61.653684210526322</v>
      </c>
      <c r="P58" s="14">
        <f t="shared" si="3"/>
        <v>4.4099999999998545</v>
      </c>
      <c r="Q58" s="16">
        <f t="shared" si="4"/>
        <v>3.7646616926464071E-3</v>
      </c>
    </row>
    <row r="59" spans="1:17" x14ac:dyDescent="0.2">
      <c r="A59" s="2">
        <v>45663</v>
      </c>
      <c r="B59" s="3" t="s">
        <v>575</v>
      </c>
      <c r="C59" s="3" t="s">
        <v>49</v>
      </c>
      <c r="D59" s="3" t="s">
        <v>46</v>
      </c>
      <c r="E59" s="3" t="s">
        <v>15</v>
      </c>
      <c r="F59" s="3" t="s">
        <v>29</v>
      </c>
      <c r="G59" s="3" t="s">
        <v>17</v>
      </c>
      <c r="H59" s="3">
        <v>12752</v>
      </c>
      <c r="I59" s="3">
        <v>320</v>
      </c>
      <c r="J59" s="3">
        <v>5</v>
      </c>
      <c r="K59" s="12">
        <v>421.75</v>
      </c>
      <c r="L59" s="10">
        <v>258.95999999999998</v>
      </c>
      <c r="M59" s="16">
        <f t="shared" si="0"/>
        <v>2.5094102885821833E-2</v>
      </c>
      <c r="N59" s="18">
        <f t="shared" si="1"/>
        <v>1.5625E-2</v>
      </c>
      <c r="O59" s="8">
        <f t="shared" si="2"/>
        <v>84.35</v>
      </c>
      <c r="P59" s="14">
        <f t="shared" si="3"/>
        <v>-162.79000000000002</v>
      </c>
      <c r="Q59" s="16">
        <f t="shared" si="4"/>
        <v>-0.38598695909899233</v>
      </c>
    </row>
    <row r="60" spans="1:17" x14ac:dyDescent="0.2">
      <c r="A60" s="2">
        <v>45663</v>
      </c>
      <c r="B60" s="3" t="s">
        <v>576</v>
      </c>
      <c r="C60" s="3" t="s">
        <v>71</v>
      </c>
      <c r="D60" s="3" t="s">
        <v>37</v>
      </c>
      <c r="E60" s="3" t="s">
        <v>31</v>
      </c>
      <c r="F60" s="3" t="s">
        <v>29</v>
      </c>
      <c r="G60" s="3" t="s">
        <v>21</v>
      </c>
      <c r="H60" s="3">
        <v>3036</v>
      </c>
      <c r="I60" s="3">
        <v>119</v>
      </c>
      <c r="J60" s="3">
        <v>5</v>
      </c>
      <c r="K60" s="12">
        <v>890.95</v>
      </c>
      <c r="L60" s="10">
        <v>844.2</v>
      </c>
      <c r="M60" s="16">
        <f t="shared" si="0"/>
        <v>3.9196310935441368E-2</v>
      </c>
      <c r="N60" s="18">
        <f t="shared" si="1"/>
        <v>4.2016806722689079E-2</v>
      </c>
      <c r="O60" s="8">
        <f t="shared" si="2"/>
        <v>178.19</v>
      </c>
      <c r="P60" s="14">
        <f t="shared" si="3"/>
        <v>-46.75</v>
      </c>
      <c r="Q60" s="16">
        <f t="shared" si="4"/>
        <v>-5.2472080363656769E-2</v>
      </c>
    </row>
    <row r="61" spans="1:17" x14ac:dyDescent="0.2">
      <c r="A61" s="2">
        <v>45663</v>
      </c>
      <c r="B61" s="3" t="s">
        <v>577</v>
      </c>
      <c r="C61" s="3" t="s">
        <v>49</v>
      </c>
      <c r="D61" s="3" t="s">
        <v>46</v>
      </c>
      <c r="E61" s="3" t="s">
        <v>20</v>
      </c>
      <c r="F61" s="3" t="s">
        <v>50</v>
      </c>
      <c r="G61" s="3" t="s">
        <v>17</v>
      </c>
      <c r="H61" s="3">
        <v>9776</v>
      </c>
      <c r="I61" s="3">
        <v>223</v>
      </c>
      <c r="J61" s="3">
        <v>6</v>
      </c>
      <c r="K61" s="12">
        <v>266.67</v>
      </c>
      <c r="L61" s="10">
        <v>594.66999999999996</v>
      </c>
      <c r="M61" s="16">
        <f t="shared" si="0"/>
        <v>2.2810965630114567E-2</v>
      </c>
      <c r="N61" s="18">
        <f t="shared" si="1"/>
        <v>2.6905829596412557E-2</v>
      </c>
      <c r="O61" s="8">
        <f t="shared" si="2"/>
        <v>44.445</v>
      </c>
      <c r="P61" s="14">
        <f t="shared" si="3"/>
        <v>327.99999999999994</v>
      </c>
      <c r="Q61" s="16">
        <f t="shared" si="4"/>
        <v>1.2299846251921849</v>
      </c>
    </row>
    <row r="62" spans="1:17" x14ac:dyDescent="0.2">
      <c r="A62" s="2">
        <v>45663</v>
      </c>
      <c r="B62" s="3" t="s">
        <v>578</v>
      </c>
      <c r="C62" s="3" t="s">
        <v>33</v>
      </c>
      <c r="D62" s="3" t="s">
        <v>28</v>
      </c>
      <c r="E62" s="3" t="s">
        <v>20</v>
      </c>
      <c r="F62" s="3" t="s">
        <v>34</v>
      </c>
      <c r="G62" s="3" t="s">
        <v>21</v>
      </c>
      <c r="H62" s="3">
        <v>30180</v>
      </c>
      <c r="I62" s="3">
        <v>907</v>
      </c>
      <c r="J62" s="3">
        <v>10</v>
      </c>
      <c r="K62" s="12">
        <v>944.83</v>
      </c>
      <c r="L62" s="10">
        <v>523.66</v>
      </c>
      <c r="M62" s="16">
        <f t="shared" si="0"/>
        <v>3.0053015241882041E-2</v>
      </c>
      <c r="N62" s="18">
        <f t="shared" si="1"/>
        <v>1.1025358324145534E-2</v>
      </c>
      <c r="O62" s="8">
        <f t="shared" si="2"/>
        <v>94.483000000000004</v>
      </c>
      <c r="P62" s="14">
        <f t="shared" si="3"/>
        <v>-421.17000000000007</v>
      </c>
      <c r="Q62" s="16">
        <f t="shared" si="4"/>
        <v>-0.44576272980324511</v>
      </c>
    </row>
    <row r="63" spans="1:17" x14ac:dyDescent="0.2">
      <c r="A63" s="2">
        <v>45663</v>
      </c>
      <c r="B63" s="3" t="s">
        <v>61</v>
      </c>
      <c r="C63" s="3" t="s">
        <v>156</v>
      </c>
      <c r="D63" s="3" t="s">
        <v>46</v>
      </c>
      <c r="E63" s="3" t="s">
        <v>15</v>
      </c>
      <c r="F63" s="3" t="s">
        <v>47</v>
      </c>
      <c r="G63" s="3" t="s">
        <v>21</v>
      </c>
      <c r="H63" s="3">
        <v>8992</v>
      </c>
      <c r="I63" s="3">
        <v>294</v>
      </c>
      <c r="J63" s="3">
        <v>7</v>
      </c>
      <c r="K63" s="12">
        <v>450.53</v>
      </c>
      <c r="L63" s="10">
        <v>442.33</v>
      </c>
      <c r="M63" s="16">
        <f t="shared" si="0"/>
        <v>3.2695729537366547E-2</v>
      </c>
      <c r="N63" s="18">
        <f t="shared" si="1"/>
        <v>2.3809523809523808E-2</v>
      </c>
      <c r="O63" s="8">
        <f t="shared" si="2"/>
        <v>64.361428571428561</v>
      </c>
      <c r="P63" s="14">
        <f t="shared" si="3"/>
        <v>-8.1999999999999886</v>
      </c>
      <c r="Q63" s="16">
        <f t="shared" si="4"/>
        <v>-1.8200785741238071E-2</v>
      </c>
    </row>
    <row r="64" spans="1:17" x14ac:dyDescent="0.2">
      <c r="A64" s="2">
        <v>45663</v>
      </c>
      <c r="B64" s="3" t="s">
        <v>384</v>
      </c>
      <c r="C64" s="3" t="s">
        <v>27</v>
      </c>
      <c r="D64" s="3" t="s">
        <v>28</v>
      </c>
      <c r="E64" s="3" t="s">
        <v>20</v>
      </c>
      <c r="F64" s="3" t="s">
        <v>47</v>
      </c>
      <c r="G64" s="3" t="s">
        <v>17</v>
      </c>
      <c r="H64" s="3">
        <v>29688</v>
      </c>
      <c r="I64" s="3">
        <v>874</v>
      </c>
      <c r="J64" s="3">
        <v>6</v>
      </c>
      <c r="K64" s="12">
        <v>829.22</v>
      </c>
      <c r="L64" s="10">
        <v>288.58</v>
      </c>
      <c r="M64" s="16">
        <f t="shared" si="0"/>
        <v>2.9439504176771759E-2</v>
      </c>
      <c r="N64" s="18">
        <f t="shared" si="1"/>
        <v>6.8649885583524023E-3</v>
      </c>
      <c r="O64" s="8">
        <f t="shared" si="2"/>
        <v>138.20333333333335</v>
      </c>
      <c r="P64" s="14">
        <f t="shared" si="3"/>
        <v>-540.6400000000001</v>
      </c>
      <c r="Q64" s="16">
        <f t="shared" si="4"/>
        <v>-0.65198620390246265</v>
      </c>
    </row>
    <row r="65" spans="1:17" x14ac:dyDescent="0.2">
      <c r="A65" s="2">
        <v>45663</v>
      </c>
      <c r="B65" s="3" t="s">
        <v>417</v>
      </c>
      <c r="C65" s="3" t="s">
        <v>36</v>
      </c>
      <c r="D65" s="3" t="s">
        <v>37</v>
      </c>
      <c r="E65" s="3" t="s">
        <v>15</v>
      </c>
      <c r="F65" s="3" t="s">
        <v>34</v>
      </c>
      <c r="G65" s="3" t="s">
        <v>17</v>
      </c>
      <c r="H65" s="3">
        <v>3707</v>
      </c>
      <c r="I65" s="3">
        <v>172</v>
      </c>
      <c r="J65" s="3">
        <v>1</v>
      </c>
      <c r="K65" s="12">
        <v>840.08</v>
      </c>
      <c r="L65" s="10">
        <v>165.22</v>
      </c>
      <c r="M65" s="16">
        <f t="shared" si="0"/>
        <v>4.639870515241435E-2</v>
      </c>
      <c r="N65" s="18">
        <f t="shared" si="1"/>
        <v>5.8139534883720929E-3</v>
      </c>
      <c r="O65" s="8">
        <f t="shared" si="2"/>
        <v>840.08</v>
      </c>
      <c r="P65" s="14">
        <f t="shared" si="3"/>
        <v>-674.86</v>
      </c>
      <c r="Q65" s="16">
        <f t="shared" si="4"/>
        <v>-0.80332825445195688</v>
      </c>
    </row>
    <row r="66" spans="1:17" x14ac:dyDescent="0.2">
      <c r="A66" s="2">
        <v>45663</v>
      </c>
      <c r="B66" s="3" t="s">
        <v>579</v>
      </c>
      <c r="C66" s="3" t="s">
        <v>52</v>
      </c>
      <c r="D66" s="3" t="s">
        <v>24</v>
      </c>
      <c r="E66" s="3" t="s">
        <v>20</v>
      </c>
      <c r="F66" s="3" t="s">
        <v>47</v>
      </c>
      <c r="G66" s="3" t="s">
        <v>17</v>
      </c>
      <c r="H66" s="3">
        <v>2945</v>
      </c>
      <c r="I66" s="3">
        <v>310</v>
      </c>
      <c r="J66" s="3">
        <v>23</v>
      </c>
      <c r="K66" s="12">
        <v>95.26</v>
      </c>
      <c r="L66" s="10">
        <v>1890.16</v>
      </c>
      <c r="M66" s="16">
        <f t="shared" si="0"/>
        <v>0.10526315789473684</v>
      </c>
      <c r="N66" s="18">
        <f t="shared" si="1"/>
        <v>7.4193548387096769E-2</v>
      </c>
      <c r="O66" s="8">
        <f t="shared" si="2"/>
        <v>4.1417391304347833</v>
      </c>
      <c r="P66" s="14">
        <f t="shared" si="3"/>
        <v>1794.9</v>
      </c>
      <c r="Q66" s="16">
        <f t="shared" si="4"/>
        <v>18.842116313247953</v>
      </c>
    </row>
    <row r="67" spans="1:17" x14ac:dyDescent="0.2">
      <c r="A67" s="2">
        <v>45663</v>
      </c>
      <c r="B67" s="3" t="s">
        <v>580</v>
      </c>
      <c r="C67" s="3" t="s">
        <v>39</v>
      </c>
      <c r="D67" s="3" t="s">
        <v>28</v>
      </c>
      <c r="E67" s="3" t="s">
        <v>31</v>
      </c>
      <c r="F67" s="3" t="s">
        <v>29</v>
      </c>
      <c r="G67" s="3" t="s">
        <v>25</v>
      </c>
      <c r="H67" s="3">
        <v>26628</v>
      </c>
      <c r="I67" s="3">
        <v>363</v>
      </c>
      <c r="J67" s="3">
        <v>9</v>
      </c>
      <c r="K67" s="12">
        <v>340.36</v>
      </c>
      <c r="L67" s="10">
        <v>495.46</v>
      </c>
      <c r="M67" s="16">
        <f t="shared" ref="M67:M130" si="5">IFERROR(I67/H67,0)</f>
        <v>1.3632266786840919E-2</v>
      </c>
      <c r="N67" s="18">
        <f t="shared" ref="N67:N130" si="6">IFERROR(J67/I67,0)</f>
        <v>2.4793388429752067E-2</v>
      </c>
      <c r="O67" s="8">
        <f t="shared" ref="O67:O130" si="7">IFERROR(K67/J67,0)</f>
        <v>37.817777777777778</v>
      </c>
      <c r="P67" s="14">
        <f t="shared" ref="P67:P130" si="8">L67-K67</f>
        <v>155.09999999999997</v>
      </c>
      <c r="Q67" s="16">
        <f t="shared" ref="Q67:Q130" si="9">IFERROR((L67-K67)/K67,0)</f>
        <v>0.4556939710894346</v>
      </c>
    </row>
    <row r="68" spans="1:17" x14ac:dyDescent="0.2">
      <c r="A68" s="2">
        <v>45663</v>
      </c>
      <c r="B68" s="3" t="s">
        <v>185</v>
      </c>
      <c r="C68" s="3" t="s">
        <v>43</v>
      </c>
      <c r="D68" s="3" t="s">
        <v>37</v>
      </c>
      <c r="E68" s="3" t="s">
        <v>20</v>
      </c>
      <c r="F68" s="3" t="s">
        <v>47</v>
      </c>
      <c r="G68" s="3" t="s">
        <v>17</v>
      </c>
      <c r="H68" s="3">
        <v>5973</v>
      </c>
      <c r="I68" s="3">
        <v>259</v>
      </c>
      <c r="J68" s="3">
        <v>6</v>
      </c>
      <c r="K68" s="12">
        <v>2072.7600000000002</v>
      </c>
      <c r="L68" s="10">
        <v>862.79</v>
      </c>
      <c r="M68" s="16">
        <f t="shared" si="5"/>
        <v>4.3361794743010211E-2</v>
      </c>
      <c r="N68" s="18">
        <f t="shared" si="6"/>
        <v>2.3166023166023165E-2</v>
      </c>
      <c r="O68" s="8">
        <f t="shared" si="7"/>
        <v>345.46000000000004</v>
      </c>
      <c r="P68" s="14">
        <f t="shared" si="8"/>
        <v>-1209.9700000000003</v>
      </c>
      <c r="Q68" s="16">
        <f t="shared" si="9"/>
        <v>-0.58374823906289208</v>
      </c>
    </row>
    <row r="69" spans="1:17" x14ac:dyDescent="0.2">
      <c r="A69" s="2">
        <v>45663</v>
      </c>
      <c r="B69" s="3" t="s">
        <v>581</v>
      </c>
      <c r="C69" s="3" t="s">
        <v>27</v>
      </c>
      <c r="D69" s="3" t="s">
        <v>28</v>
      </c>
      <c r="E69" s="3" t="s">
        <v>15</v>
      </c>
      <c r="F69" s="3" t="s">
        <v>50</v>
      </c>
      <c r="G69" s="3" t="s">
        <v>17</v>
      </c>
      <c r="H69" s="3">
        <v>15781</v>
      </c>
      <c r="I69" s="3">
        <v>385</v>
      </c>
      <c r="J69" s="3">
        <v>4</v>
      </c>
      <c r="K69" s="12">
        <v>461.88</v>
      </c>
      <c r="L69" s="10">
        <v>100.37</v>
      </c>
      <c r="M69" s="16">
        <f t="shared" si="5"/>
        <v>2.4396426081997338E-2</v>
      </c>
      <c r="N69" s="18">
        <f t="shared" si="6"/>
        <v>1.038961038961039E-2</v>
      </c>
      <c r="O69" s="8">
        <f t="shared" si="7"/>
        <v>115.47</v>
      </c>
      <c r="P69" s="14">
        <f t="shared" si="8"/>
        <v>-361.51</v>
      </c>
      <c r="Q69" s="16">
        <f t="shared" si="9"/>
        <v>-0.78269247423573218</v>
      </c>
    </row>
    <row r="70" spans="1:17" x14ac:dyDescent="0.2">
      <c r="A70" s="2">
        <v>45664</v>
      </c>
      <c r="B70" s="3" t="s">
        <v>283</v>
      </c>
      <c r="C70" s="3" t="s">
        <v>74</v>
      </c>
      <c r="D70" s="3" t="s">
        <v>28</v>
      </c>
      <c r="E70" s="3" t="s">
        <v>31</v>
      </c>
      <c r="F70" s="3" t="s">
        <v>34</v>
      </c>
      <c r="G70" s="3" t="s">
        <v>21</v>
      </c>
      <c r="H70" s="3">
        <v>39666</v>
      </c>
      <c r="I70" s="3">
        <v>519</v>
      </c>
      <c r="J70" s="3">
        <v>15</v>
      </c>
      <c r="K70" s="12">
        <v>666.33</v>
      </c>
      <c r="L70" s="10">
        <v>914.71</v>
      </c>
      <c r="M70" s="16">
        <f t="shared" si="5"/>
        <v>1.308425351686583E-2</v>
      </c>
      <c r="N70" s="18">
        <f t="shared" si="6"/>
        <v>2.8901734104046242E-2</v>
      </c>
      <c r="O70" s="8">
        <f t="shared" si="7"/>
        <v>44.422000000000004</v>
      </c>
      <c r="P70" s="14">
        <f t="shared" si="8"/>
        <v>248.38</v>
      </c>
      <c r="Q70" s="16">
        <f t="shared" si="9"/>
        <v>0.37275824291267085</v>
      </c>
    </row>
    <row r="71" spans="1:17" x14ac:dyDescent="0.2">
      <c r="A71" s="2">
        <v>45664</v>
      </c>
      <c r="B71" s="3" t="s">
        <v>582</v>
      </c>
      <c r="C71" s="3" t="s">
        <v>52</v>
      </c>
      <c r="D71" s="3" t="s">
        <v>24</v>
      </c>
      <c r="E71" s="3" t="s">
        <v>15</v>
      </c>
      <c r="F71" s="3" t="s">
        <v>50</v>
      </c>
      <c r="G71" s="3" t="s">
        <v>17</v>
      </c>
      <c r="H71" s="3">
        <v>1516</v>
      </c>
      <c r="I71" s="3">
        <v>201</v>
      </c>
      <c r="J71" s="3">
        <v>17</v>
      </c>
      <c r="K71" s="12">
        <v>59.9</v>
      </c>
      <c r="L71" s="10">
        <v>2226.5300000000002</v>
      </c>
      <c r="M71" s="16">
        <f t="shared" si="5"/>
        <v>0.13258575197889183</v>
      </c>
      <c r="N71" s="18">
        <f t="shared" si="6"/>
        <v>8.45771144278607E-2</v>
      </c>
      <c r="O71" s="8">
        <f t="shared" si="7"/>
        <v>3.5235294117647058</v>
      </c>
      <c r="P71" s="14">
        <f t="shared" si="8"/>
        <v>2166.63</v>
      </c>
      <c r="Q71" s="16">
        <f t="shared" si="9"/>
        <v>36.170784641068451</v>
      </c>
    </row>
    <row r="72" spans="1:17" x14ac:dyDescent="0.2">
      <c r="A72" s="2">
        <v>45664</v>
      </c>
      <c r="B72" s="3" t="s">
        <v>583</v>
      </c>
      <c r="C72" s="3" t="s">
        <v>13</v>
      </c>
      <c r="D72" s="3" t="s">
        <v>14</v>
      </c>
      <c r="E72" s="3" t="s">
        <v>15</v>
      </c>
      <c r="F72" s="3" t="s">
        <v>47</v>
      </c>
      <c r="G72" s="3" t="s">
        <v>21</v>
      </c>
      <c r="H72" s="3">
        <v>8270</v>
      </c>
      <c r="I72" s="3">
        <v>317</v>
      </c>
      <c r="J72" s="3">
        <v>10</v>
      </c>
      <c r="K72" s="12">
        <v>960.75</v>
      </c>
      <c r="L72" s="10">
        <v>626.41999999999996</v>
      </c>
      <c r="M72" s="16">
        <f t="shared" si="5"/>
        <v>3.8331318016928656E-2</v>
      </c>
      <c r="N72" s="18">
        <f t="shared" si="6"/>
        <v>3.1545741324921134E-2</v>
      </c>
      <c r="O72" s="8">
        <f t="shared" si="7"/>
        <v>96.075000000000003</v>
      </c>
      <c r="P72" s="14">
        <f t="shared" si="8"/>
        <v>-334.33000000000004</v>
      </c>
      <c r="Q72" s="16">
        <f t="shared" si="9"/>
        <v>-0.34798855061150147</v>
      </c>
    </row>
    <row r="73" spans="1:17" x14ac:dyDescent="0.2">
      <c r="A73" s="2">
        <v>45664</v>
      </c>
      <c r="B73" s="3" t="s">
        <v>584</v>
      </c>
      <c r="C73" s="3" t="s">
        <v>19</v>
      </c>
      <c r="D73" s="3" t="s">
        <v>14</v>
      </c>
      <c r="E73" s="3" t="s">
        <v>31</v>
      </c>
      <c r="F73" s="3" t="s">
        <v>50</v>
      </c>
      <c r="G73" s="3" t="s">
        <v>17</v>
      </c>
      <c r="H73" s="3">
        <v>11752</v>
      </c>
      <c r="I73" s="3">
        <v>659</v>
      </c>
      <c r="J73" s="3">
        <v>29</v>
      </c>
      <c r="K73" s="12">
        <v>1623.39</v>
      </c>
      <c r="L73" s="10">
        <v>2642.93</v>
      </c>
      <c r="M73" s="16">
        <f t="shared" si="5"/>
        <v>5.6075561606535061E-2</v>
      </c>
      <c r="N73" s="18">
        <f t="shared" si="6"/>
        <v>4.4006069802731411E-2</v>
      </c>
      <c r="O73" s="8">
        <f t="shared" si="7"/>
        <v>55.978965517241384</v>
      </c>
      <c r="P73" s="14">
        <f t="shared" si="8"/>
        <v>1019.5399999999997</v>
      </c>
      <c r="Q73" s="16">
        <f t="shared" si="9"/>
        <v>0.62803146502072804</v>
      </c>
    </row>
    <row r="74" spans="1:17" x14ac:dyDescent="0.2">
      <c r="A74" s="2">
        <v>45664</v>
      </c>
      <c r="B74" s="3" t="s">
        <v>318</v>
      </c>
      <c r="C74" s="3" t="s">
        <v>27</v>
      </c>
      <c r="D74" s="3" t="s">
        <v>28</v>
      </c>
      <c r="E74" s="3" t="s">
        <v>20</v>
      </c>
      <c r="F74" s="3" t="s">
        <v>29</v>
      </c>
      <c r="G74" s="3" t="s">
        <v>17</v>
      </c>
      <c r="H74" s="3">
        <v>36245</v>
      </c>
      <c r="I74" s="3">
        <v>573</v>
      </c>
      <c r="J74" s="3">
        <v>8</v>
      </c>
      <c r="K74" s="12">
        <v>509.6</v>
      </c>
      <c r="L74" s="10">
        <v>556.73</v>
      </c>
      <c r="M74" s="16">
        <f t="shared" si="5"/>
        <v>1.5809077114084701E-2</v>
      </c>
      <c r="N74" s="18">
        <f t="shared" si="6"/>
        <v>1.3961605584642234E-2</v>
      </c>
      <c r="O74" s="8">
        <f t="shared" si="7"/>
        <v>63.7</v>
      </c>
      <c r="P74" s="14">
        <f t="shared" si="8"/>
        <v>47.129999999999995</v>
      </c>
      <c r="Q74" s="16">
        <f t="shared" si="9"/>
        <v>9.2484301412872824E-2</v>
      </c>
    </row>
    <row r="75" spans="1:17" x14ac:dyDescent="0.2">
      <c r="A75" s="2">
        <v>45664</v>
      </c>
      <c r="B75" s="3" t="s">
        <v>585</v>
      </c>
      <c r="C75" s="3" t="s">
        <v>33</v>
      </c>
      <c r="D75" s="3" t="s">
        <v>28</v>
      </c>
      <c r="E75" s="3" t="s">
        <v>20</v>
      </c>
      <c r="F75" s="3" t="s">
        <v>47</v>
      </c>
      <c r="G75" s="3" t="s">
        <v>17</v>
      </c>
      <c r="H75" s="3">
        <v>33744</v>
      </c>
      <c r="I75" s="3">
        <v>1101</v>
      </c>
      <c r="J75" s="3">
        <v>12</v>
      </c>
      <c r="K75" s="12">
        <v>1392.6</v>
      </c>
      <c r="L75" s="10">
        <v>840.56</v>
      </c>
      <c r="M75" s="16">
        <f t="shared" si="5"/>
        <v>3.2628022759601708E-2</v>
      </c>
      <c r="N75" s="18">
        <f t="shared" si="6"/>
        <v>1.0899182561307902E-2</v>
      </c>
      <c r="O75" s="8">
        <f t="shared" si="7"/>
        <v>116.05</v>
      </c>
      <c r="P75" s="14">
        <f t="shared" si="8"/>
        <v>-552.04</v>
      </c>
      <c r="Q75" s="16">
        <f t="shared" si="9"/>
        <v>-0.39640959356599165</v>
      </c>
    </row>
    <row r="76" spans="1:17" x14ac:dyDescent="0.2">
      <c r="A76" s="2">
        <v>45664</v>
      </c>
      <c r="B76" s="3" t="s">
        <v>188</v>
      </c>
      <c r="C76" s="3" t="s">
        <v>23</v>
      </c>
      <c r="D76" s="3" t="s">
        <v>24</v>
      </c>
      <c r="E76" s="3" t="s">
        <v>31</v>
      </c>
      <c r="F76" s="3" t="s">
        <v>50</v>
      </c>
      <c r="G76" s="3" t="s">
        <v>21</v>
      </c>
      <c r="H76" s="3">
        <v>2891</v>
      </c>
      <c r="I76" s="3">
        <v>429</v>
      </c>
      <c r="J76" s="3">
        <v>76</v>
      </c>
      <c r="K76" s="12">
        <v>206.36</v>
      </c>
      <c r="L76" s="10">
        <v>6939.3</v>
      </c>
      <c r="M76" s="16">
        <f t="shared" si="5"/>
        <v>0.14839156001383605</v>
      </c>
      <c r="N76" s="18">
        <f t="shared" si="6"/>
        <v>0.17715617715617715</v>
      </c>
      <c r="O76" s="8">
        <f t="shared" si="7"/>
        <v>2.715263157894737</v>
      </c>
      <c r="P76" s="14">
        <f t="shared" si="8"/>
        <v>6732.9400000000005</v>
      </c>
      <c r="Q76" s="16">
        <f t="shared" si="9"/>
        <v>32.627156425663891</v>
      </c>
    </row>
    <row r="77" spans="1:17" x14ac:dyDescent="0.2">
      <c r="A77" s="2">
        <v>45664</v>
      </c>
      <c r="B77" s="3" t="s">
        <v>586</v>
      </c>
      <c r="C77" s="3" t="s">
        <v>110</v>
      </c>
      <c r="D77" s="3" t="s">
        <v>24</v>
      </c>
      <c r="E77" s="3" t="s">
        <v>15</v>
      </c>
      <c r="F77" s="3" t="s">
        <v>29</v>
      </c>
      <c r="G77" s="3" t="s">
        <v>17</v>
      </c>
      <c r="H77" s="3">
        <v>1185</v>
      </c>
      <c r="I77" s="3">
        <v>128</v>
      </c>
      <c r="J77" s="3">
        <v>8</v>
      </c>
      <c r="K77" s="12">
        <v>32.24</v>
      </c>
      <c r="L77" s="10">
        <v>1078.56</v>
      </c>
      <c r="M77" s="16">
        <f t="shared" si="5"/>
        <v>0.1080168776371308</v>
      </c>
      <c r="N77" s="18">
        <f t="shared" si="6"/>
        <v>6.25E-2</v>
      </c>
      <c r="O77" s="8">
        <f t="shared" si="7"/>
        <v>4.03</v>
      </c>
      <c r="P77" s="14">
        <f t="shared" si="8"/>
        <v>1046.32</v>
      </c>
      <c r="Q77" s="16">
        <f t="shared" si="9"/>
        <v>32.454094292803966</v>
      </c>
    </row>
    <row r="78" spans="1:17" x14ac:dyDescent="0.2">
      <c r="A78" s="2">
        <v>45664</v>
      </c>
      <c r="B78" s="3" t="s">
        <v>587</v>
      </c>
      <c r="C78" s="3" t="s">
        <v>45</v>
      </c>
      <c r="D78" s="3" t="s">
        <v>46</v>
      </c>
      <c r="E78" s="3" t="s">
        <v>20</v>
      </c>
      <c r="F78" s="3" t="s">
        <v>47</v>
      </c>
      <c r="G78" s="3" t="s">
        <v>21</v>
      </c>
      <c r="H78" s="3">
        <v>8486</v>
      </c>
      <c r="I78" s="3">
        <v>226</v>
      </c>
      <c r="J78" s="3">
        <v>8</v>
      </c>
      <c r="K78" s="12">
        <v>429.77</v>
      </c>
      <c r="L78" s="10">
        <v>827.46</v>
      </c>
      <c r="M78" s="16">
        <f t="shared" si="5"/>
        <v>2.663209992929531E-2</v>
      </c>
      <c r="N78" s="18">
        <f t="shared" si="6"/>
        <v>3.5398230088495575E-2</v>
      </c>
      <c r="O78" s="8">
        <f t="shared" si="7"/>
        <v>53.721249999999998</v>
      </c>
      <c r="P78" s="14">
        <f t="shared" si="8"/>
        <v>397.69000000000005</v>
      </c>
      <c r="Q78" s="16">
        <f t="shared" si="9"/>
        <v>0.9253554226679388</v>
      </c>
    </row>
    <row r="79" spans="1:17" x14ac:dyDescent="0.2">
      <c r="A79" s="2">
        <v>45664</v>
      </c>
      <c r="B79" s="3" t="s">
        <v>340</v>
      </c>
      <c r="C79" s="3" t="s">
        <v>33</v>
      </c>
      <c r="D79" s="3" t="s">
        <v>28</v>
      </c>
      <c r="E79" s="3" t="s">
        <v>20</v>
      </c>
      <c r="F79" s="3" t="s">
        <v>29</v>
      </c>
      <c r="G79" s="3" t="s">
        <v>17</v>
      </c>
      <c r="H79" s="3">
        <v>38192</v>
      </c>
      <c r="I79" s="3">
        <v>615</v>
      </c>
      <c r="J79" s="3">
        <v>1</v>
      </c>
      <c r="K79" s="12">
        <v>0</v>
      </c>
      <c r="L79" s="10">
        <v>41.31</v>
      </c>
      <c r="M79" s="16">
        <f t="shared" si="5"/>
        <v>1.6102848764139088E-2</v>
      </c>
      <c r="N79" s="18">
        <f t="shared" si="6"/>
        <v>1.6260162601626016E-3</v>
      </c>
      <c r="O79" s="8">
        <f t="shared" si="7"/>
        <v>0</v>
      </c>
      <c r="P79" s="14">
        <f t="shared" si="8"/>
        <v>41.31</v>
      </c>
      <c r="Q79" s="16">
        <f t="shared" si="9"/>
        <v>0</v>
      </c>
    </row>
    <row r="80" spans="1:17" x14ac:dyDescent="0.2">
      <c r="A80" s="2">
        <v>45664</v>
      </c>
      <c r="B80" s="3" t="s">
        <v>462</v>
      </c>
      <c r="C80" s="3" t="s">
        <v>43</v>
      </c>
      <c r="D80" s="3" t="s">
        <v>37</v>
      </c>
      <c r="E80" s="3" t="s">
        <v>20</v>
      </c>
      <c r="F80" s="3" t="s">
        <v>47</v>
      </c>
      <c r="G80" s="3" t="s">
        <v>21</v>
      </c>
      <c r="H80" s="3">
        <v>2422</v>
      </c>
      <c r="I80" s="3">
        <v>94</v>
      </c>
      <c r="J80" s="3">
        <v>1</v>
      </c>
      <c r="K80" s="12">
        <v>684.65</v>
      </c>
      <c r="L80" s="10">
        <v>135.76</v>
      </c>
      <c r="M80" s="16">
        <f t="shared" si="5"/>
        <v>3.8810900082576386E-2</v>
      </c>
      <c r="N80" s="18">
        <f t="shared" si="6"/>
        <v>1.0638297872340425E-2</v>
      </c>
      <c r="O80" s="8">
        <f t="shared" si="7"/>
        <v>684.65</v>
      </c>
      <c r="P80" s="14">
        <f t="shared" si="8"/>
        <v>-548.89</v>
      </c>
      <c r="Q80" s="16">
        <f t="shared" si="9"/>
        <v>-0.80170890235886949</v>
      </c>
    </row>
    <row r="81" spans="1:17" x14ac:dyDescent="0.2">
      <c r="A81" s="2">
        <v>45664</v>
      </c>
      <c r="B81" s="3" t="s">
        <v>492</v>
      </c>
      <c r="C81" s="3" t="s">
        <v>27</v>
      </c>
      <c r="D81" s="3" t="s">
        <v>28</v>
      </c>
      <c r="E81" s="3" t="s">
        <v>20</v>
      </c>
      <c r="F81" s="3" t="s">
        <v>50</v>
      </c>
      <c r="G81" s="3" t="s">
        <v>25</v>
      </c>
      <c r="H81" s="3">
        <v>23265</v>
      </c>
      <c r="I81" s="3">
        <v>419</v>
      </c>
      <c r="J81" s="3">
        <v>9</v>
      </c>
      <c r="K81" s="12">
        <v>398.53</v>
      </c>
      <c r="L81" s="10">
        <v>650.82000000000005</v>
      </c>
      <c r="M81" s="16">
        <f t="shared" si="5"/>
        <v>1.8009886094992478E-2</v>
      </c>
      <c r="N81" s="18">
        <f t="shared" si="6"/>
        <v>2.1479713603818614E-2</v>
      </c>
      <c r="O81" s="8">
        <f t="shared" si="7"/>
        <v>44.281111111111109</v>
      </c>
      <c r="P81" s="14">
        <f t="shared" si="8"/>
        <v>252.29000000000008</v>
      </c>
      <c r="Q81" s="16">
        <f t="shared" si="9"/>
        <v>0.63305146413068047</v>
      </c>
    </row>
    <row r="82" spans="1:17" x14ac:dyDescent="0.2">
      <c r="A82" s="2">
        <v>45664</v>
      </c>
      <c r="B82" s="3" t="s">
        <v>588</v>
      </c>
      <c r="C82" s="3" t="s">
        <v>52</v>
      </c>
      <c r="D82" s="3" t="s">
        <v>24</v>
      </c>
      <c r="E82" s="3" t="s">
        <v>31</v>
      </c>
      <c r="F82" s="3" t="s">
        <v>34</v>
      </c>
      <c r="G82" s="3" t="s">
        <v>21</v>
      </c>
      <c r="H82" s="3">
        <v>1141</v>
      </c>
      <c r="I82" s="3">
        <v>159</v>
      </c>
      <c r="J82" s="3">
        <v>40</v>
      </c>
      <c r="K82" s="12">
        <v>65.09</v>
      </c>
      <c r="L82" s="10">
        <v>4356.62</v>
      </c>
      <c r="M82" s="16">
        <f t="shared" si="5"/>
        <v>0.13935144609991235</v>
      </c>
      <c r="N82" s="18">
        <f t="shared" si="6"/>
        <v>0.25157232704402516</v>
      </c>
      <c r="O82" s="8">
        <f t="shared" si="7"/>
        <v>1.6272500000000001</v>
      </c>
      <c r="P82" s="14">
        <f t="shared" si="8"/>
        <v>4291.53</v>
      </c>
      <c r="Q82" s="16">
        <f t="shared" si="9"/>
        <v>65.932247657090173</v>
      </c>
    </row>
    <row r="83" spans="1:17" x14ac:dyDescent="0.2">
      <c r="A83" s="2">
        <v>45664</v>
      </c>
      <c r="B83" s="3" t="s">
        <v>413</v>
      </c>
      <c r="C83" s="3" t="s">
        <v>43</v>
      </c>
      <c r="D83" s="3" t="s">
        <v>37</v>
      </c>
      <c r="E83" s="3" t="s">
        <v>31</v>
      </c>
      <c r="F83" s="3" t="s">
        <v>34</v>
      </c>
      <c r="G83" s="3" t="s">
        <v>17</v>
      </c>
      <c r="H83" s="3">
        <v>6966</v>
      </c>
      <c r="I83" s="3">
        <v>295</v>
      </c>
      <c r="J83" s="3">
        <v>8</v>
      </c>
      <c r="K83" s="12">
        <v>2160.11</v>
      </c>
      <c r="L83" s="10">
        <v>1171.32</v>
      </c>
      <c r="M83" s="16">
        <f t="shared" si="5"/>
        <v>4.2348550100488082E-2</v>
      </c>
      <c r="N83" s="18">
        <f t="shared" si="6"/>
        <v>2.7118644067796609E-2</v>
      </c>
      <c r="O83" s="8">
        <f t="shared" si="7"/>
        <v>270.01375000000002</v>
      </c>
      <c r="P83" s="14">
        <f t="shared" si="8"/>
        <v>-988.79000000000019</v>
      </c>
      <c r="Q83" s="16">
        <f t="shared" si="9"/>
        <v>-0.457749836813866</v>
      </c>
    </row>
    <row r="84" spans="1:17" x14ac:dyDescent="0.2">
      <c r="A84" s="2">
        <v>45665</v>
      </c>
      <c r="B84" s="3" t="s">
        <v>589</v>
      </c>
      <c r="C84" s="3" t="s">
        <v>71</v>
      </c>
      <c r="D84" s="3" t="s">
        <v>37</v>
      </c>
      <c r="E84" s="3" t="s">
        <v>20</v>
      </c>
      <c r="F84" s="3" t="s">
        <v>29</v>
      </c>
      <c r="G84" s="3" t="s">
        <v>21</v>
      </c>
      <c r="H84" s="3">
        <v>2927</v>
      </c>
      <c r="I84" s="3">
        <v>119</v>
      </c>
      <c r="J84" s="3">
        <v>3</v>
      </c>
      <c r="K84" s="12">
        <v>551.25</v>
      </c>
      <c r="L84" s="10">
        <v>319.44</v>
      </c>
      <c r="M84" s="16">
        <f t="shared" si="5"/>
        <v>4.0655961735565425E-2</v>
      </c>
      <c r="N84" s="18">
        <f t="shared" si="6"/>
        <v>2.5210084033613446E-2</v>
      </c>
      <c r="O84" s="8">
        <f t="shared" si="7"/>
        <v>183.75</v>
      </c>
      <c r="P84" s="14">
        <f t="shared" si="8"/>
        <v>-231.81</v>
      </c>
      <c r="Q84" s="16">
        <f t="shared" si="9"/>
        <v>-0.42051700680272108</v>
      </c>
    </row>
    <row r="85" spans="1:17" x14ac:dyDescent="0.2">
      <c r="A85" s="2">
        <v>45665</v>
      </c>
      <c r="B85" s="3" t="s">
        <v>472</v>
      </c>
      <c r="C85" s="3" t="s">
        <v>33</v>
      </c>
      <c r="D85" s="3" t="s">
        <v>28</v>
      </c>
      <c r="E85" s="3" t="s">
        <v>20</v>
      </c>
      <c r="F85" s="3" t="s">
        <v>29</v>
      </c>
      <c r="G85" s="3" t="s">
        <v>17</v>
      </c>
      <c r="H85" s="3">
        <v>30220</v>
      </c>
      <c r="I85" s="3">
        <v>586</v>
      </c>
      <c r="J85" s="3">
        <v>4</v>
      </c>
      <c r="K85" s="12">
        <v>773.35</v>
      </c>
      <c r="L85" s="10">
        <v>281.75</v>
      </c>
      <c r="M85" s="16">
        <f t="shared" si="5"/>
        <v>1.9391131700860358E-2</v>
      </c>
      <c r="N85" s="18">
        <f t="shared" si="6"/>
        <v>6.8259385665529011E-3</v>
      </c>
      <c r="O85" s="8">
        <f t="shared" si="7"/>
        <v>193.33750000000001</v>
      </c>
      <c r="P85" s="14">
        <f t="shared" si="8"/>
        <v>-491.6</v>
      </c>
      <c r="Q85" s="16">
        <f t="shared" si="9"/>
        <v>-0.63567595525958498</v>
      </c>
    </row>
    <row r="86" spans="1:17" x14ac:dyDescent="0.2">
      <c r="A86" s="2">
        <v>45665</v>
      </c>
      <c r="B86" s="3" t="s">
        <v>590</v>
      </c>
      <c r="C86" s="3" t="s">
        <v>74</v>
      </c>
      <c r="D86" s="3" t="s">
        <v>28</v>
      </c>
      <c r="E86" s="3" t="s">
        <v>15</v>
      </c>
      <c r="F86" s="3" t="s">
        <v>29</v>
      </c>
      <c r="G86" s="3" t="s">
        <v>21</v>
      </c>
      <c r="H86" s="3">
        <v>27624</v>
      </c>
      <c r="I86" s="3">
        <v>376</v>
      </c>
      <c r="J86" s="3">
        <v>3</v>
      </c>
      <c r="K86" s="12">
        <v>391.46</v>
      </c>
      <c r="L86" s="10">
        <v>158.85</v>
      </c>
      <c r="M86" s="16">
        <f t="shared" si="5"/>
        <v>1.3611352447147408E-2</v>
      </c>
      <c r="N86" s="18">
        <f t="shared" si="6"/>
        <v>7.9787234042553185E-3</v>
      </c>
      <c r="O86" s="8">
        <f t="shared" si="7"/>
        <v>130.48666666666665</v>
      </c>
      <c r="P86" s="14">
        <f t="shared" si="8"/>
        <v>-232.60999999999999</v>
      </c>
      <c r="Q86" s="16">
        <f t="shared" si="9"/>
        <v>-0.59421141368211305</v>
      </c>
    </row>
    <row r="87" spans="1:17" x14ac:dyDescent="0.2">
      <c r="A87" s="2">
        <v>45665</v>
      </c>
      <c r="B87" s="3" t="s">
        <v>591</v>
      </c>
      <c r="C87" s="3" t="s">
        <v>39</v>
      </c>
      <c r="D87" s="3" t="s">
        <v>28</v>
      </c>
      <c r="E87" s="3" t="s">
        <v>20</v>
      </c>
      <c r="F87" s="3" t="s">
        <v>50</v>
      </c>
      <c r="G87" s="3" t="s">
        <v>17</v>
      </c>
      <c r="H87" s="3">
        <v>29575</v>
      </c>
      <c r="I87" s="3">
        <v>520</v>
      </c>
      <c r="J87" s="3">
        <v>6</v>
      </c>
      <c r="K87" s="12">
        <v>593.34</v>
      </c>
      <c r="L87" s="10">
        <v>371.51</v>
      </c>
      <c r="M87" s="16">
        <f t="shared" si="5"/>
        <v>1.7582417582417582E-2</v>
      </c>
      <c r="N87" s="18">
        <f t="shared" si="6"/>
        <v>1.1538461538461539E-2</v>
      </c>
      <c r="O87" s="8">
        <f t="shared" si="7"/>
        <v>98.89</v>
      </c>
      <c r="P87" s="14">
        <f t="shared" si="8"/>
        <v>-221.83000000000004</v>
      </c>
      <c r="Q87" s="16">
        <f t="shared" si="9"/>
        <v>-0.3738665857686993</v>
      </c>
    </row>
    <row r="88" spans="1:17" x14ac:dyDescent="0.2">
      <c r="A88" s="2">
        <v>45665</v>
      </c>
      <c r="B88" s="3" t="s">
        <v>429</v>
      </c>
      <c r="C88" s="3" t="s">
        <v>33</v>
      </c>
      <c r="D88" s="3" t="s">
        <v>28</v>
      </c>
      <c r="E88" s="3" t="s">
        <v>20</v>
      </c>
      <c r="F88" s="3" t="s">
        <v>34</v>
      </c>
      <c r="G88" s="3" t="s">
        <v>21</v>
      </c>
      <c r="H88" s="3">
        <v>31884</v>
      </c>
      <c r="I88" s="3">
        <v>539</v>
      </c>
      <c r="J88" s="3">
        <v>6</v>
      </c>
      <c r="K88" s="12">
        <v>727.72</v>
      </c>
      <c r="L88" s="10">
        <v>264.32</v>
      </c>
      <c r="M88" s="16">
        <f t="shared" si="5"/>
        <v>1.6905030736419521E-2</v>
      </c>
      <c r="N88" s="18">
        <f t="shared" si="6"/>
        <v>1.1131725417439703E-2</v>
      </c>
      <c r="O88" s="8">
        <f t="shared" si="7"/>
        <v>121.28666666666668</v>
      </c>
      <c r="P88" s="14">
        <f t="shared" si="8"/>
        <v>-463.40000000000003</v>
      </c>
      <c r="Q88" s="16">
        <f t="shared" si="9"/>
        <v>-0.63678337822239328</v>
      </c>
    </row>
    <row r="89" spans="1:17" x14ac:dyDescent="0.2">
      <c r="A89" s="2">
        <v>45665</v>
      </c>
      <c r="B89" s="3" t="s">
        <v>592</v>
      </c>
      <c r="C89" s="3" t="s">
        <v>71</v>
      </c>
      <c r="D89" s="3" t="s">
        <v>37</v>
      </c>
      <c r="E89" s="3" t="s">
        <v>20</v>
      </c>
      <c r="F89" s="3" t="s">
        <v>29</v>
      </c>
      <c r="G89" s="3" t="s">
        <v>17</v>
      </c>
      <c r="H89" s="3">
        <v>6590</v>
      </c>
      <c r="I89" s="3">
        <v>266</v>
      </c>
      <c r="J89" s="3">
        <v>2</v>
      </c>
      <c r="K89" s="12">
        <v>1943.45</v>
      </c>
      <c r="L89" s="10">
        <v>19.559999999999999</v>
      </c>
      <c r="M89" s="16">
        <f t="shared" si="5"/>
        <v>4.0364188163884672E-2</v>
      </c>
      <c r="N89" s="18">
        <f t="shared" si="6"/>
        <v>7.5187969924812026E-3</v>
      </c>
      <c r="O89" s="8">
        <f t="shared" si="7"/>
        <v>971.72500000000002</v>
      </c>
      <c r="P89" s="14">
        <f t="shared" si="8"/>
        <v>-1923.89</v>
      </c>
      <c r="Q89" s="16">
        <f t="shared" si="9"/>
        <v>-0.98993542411690549</v>
      </c>
    </row>
    <row r="90" spans="1:17" x14ac:dyDescent="0.2">
      <c r="A90" s="2">
        <v>45665</v>
      </c>
      <c r="B90" s="3" t="s">
        <v>593</v>
      </c>
      <c r="C90" s="3" t="s">
        <v>13</v>
      </c>
      <c r="D90" s="3" t="s">
        <v>14</v>
      </c>
      <c r="E90" s="3" t="s">
        <v>20</v>
      </c>
      <c r="F90" s="3" t="s">
        <v>50</v>
      </c>
      <c r="G90" s="3" t="s">
        <v>21</v>
      </c>
      <c r="H90" s="3">
        <v>11303</v>
      </c>
      <c r="I90" s="3">
        <v>581</v>
      </c>
      <c r="J90" s="3">
        <v>27</v>
      </c>
      <c r="K90" s="12">
        <v>1501.36</v>
      </c>
      <c r="L90" s="10">
        <v>2465.5300000000002</v>
      </c>
      <c r="M90" s="16">
        <f t="shared" si="5"/>
        <v>5.1402282579846061E-2</v>
      </c>
      <c r="N90" s="18">
        <f t="shared" si="6"/>
        <v>4.6471600688468159E-2</v>
      </c>
      <c r="O90" s="8">
        <f t="shared" si="7"/>
        <v>55.605925925925924</v>
      </c>
      <c r="P90" s="14">
        <f t="shared" si="8"/>
        <v>964.1700000000003</v>
      </c>
      <c r="Q90" s="16">
        <f t="shared" si="9"/>
        <v>0.64219774071508529</v>
      </c>
    </row>
    <row r="91" spans="1:17" x14ac:dyDescent="0.2">
      <c r="A91" s="2">
        <v>45665</v>
      </c>
      <c r="B91" s="3" t="s">
        <v>229</v>
      </c>
      <c r="C91" s="3" t="s">
        <v>97</v>
      </c>
      <c r="D91" s="3" t="s">
        <v>46</v>
      </c>
      <c r="E91" s="3" t="s">
        <v>31</v>
      </c>
      <c r="F91" s="3" t="s">
        <v>50</v>
      </c>
      <c r="G91" s="3" t="s">
        <v>17</v>
      </c>
      <c r="H91" s="3">
        <v>8318</v>
      </c>
      <c r="I91" s="3">
        <v>303</v>
      </c>
      <c r="J91" s="3">
        <v>11</v>
      </c>
      <c r="K91" s="12">
        <v>322.94</v>
      </c>
      <c r="L91" s="10">
        <v>1031.79</v>
      </c>
      <c r="M91" s="16">
        <f t="shared" si="5"/>
        <v>3.6427025727338302E-2</v>
      </c>
      <c r="N91" s="18">
        <f t="shared" si="6"/>
        <v>3.6303630363036306E-2</v>
      </c>
      <c r="O91" s="8">
        <f t="shared" si="7"/>
        <v>29.358181818181819</v>
      </c>
      <c r="P91" s="14">
        <f t="shared" si="8"/>
        <v>708.84999999999991</v>
      </c>
      <c r="Q91" s="16">
        <f t="shared" si="9"/>
        <v>2.1949897813835384</v>
      </c>
    </row>
    <row r="92" spans="1:17" x14ac:dyDescent="0.2">
      <c r="A92" s="2">
        <v>45665</v>
      </c>
      <c r="B92" s="3" t="s">
        <v>594</v>
      </c>
      <c r="C92" s="3" t="s">
        <v>45</v>
      </c>
      <c r="D92" s="3" t="s">
        <v>46</v>
      </c>
      <c r="E92" s="3" t="s">
        <v>31</v>
      </c>
      <c r="F92" s="3" t="s">
        <v>29</v>
      </c>
      <c r="G92" s="3" t="s">
        <v>21</v>
      </c>
      <c r="H92" s="3">
        <v>14836</v>
      </c>
      <c r="I92" s="3">
        <v>396</v>
      </c>
      <c r="J92" s="3">
        <v>20</v>
      </c>
      <c r="K92" s="12">
        <v>389.79</v>
      </c>
      <c r="L92" s="10">
        <v>1594.86</v>
      </c>
      <c r="M92" s="16">
        <f t="shared" si="5"/>
        <v>2.6691830682124561E-2</v>
      </c>
      <c r="N92" s="18">
        <f t="shared" si="6"/>
        <v>5.0505050505050504E-2</v>
      </c>
      <c r="O92" s="8">
        <f t="shared" si="7"/>
        <v>19.4895</v>
      </c>
      <c r="P92" s="14">
        <f t="shared" si="8"/>
        <v>1205.07</v>
      </c>
      <c r="Q92" s="16">
        <f t="shared" si="9"/>
        <v>3.0915877780343259</v>
      </c>
    </row>
    <row r="93" spans="1:17" x14ac:dyDescent="0.2">
      <c r="A93" s="2">
        <v>45665</v>
      </c>
      <c r="B93" s="3" t="s">
        <v>402</v>
      </c>
      <c r="C93" s="3" t="s">
        <v>45</v>
      </c>
      <c r="D93" s="3" t="s">
        <v>46</v>
      </c>
      <c r="E93" s="3" t="s">
        <v>31</v>
      </c>
      <c r="F93" s="3" t="s">
        <v>34</v>
      </c>
      <c r="G93" s="3" t="s">
        <v>17</v>
      </c>
      <c r="H93" s="3">
        <v>19947</v>
      </c>
      <c r="I93" s="3">
        <v>464</v>
      </c>
      <c r="J93" s="3">
        <v>21</v>
      </c>
      <c r="K93" s="12">
        <v>681.13</v>
      </c>
      <c r="L93" s="10">
        <v>1785.96</v>
      </c>
      <c r="M93" s="16">
        <f t="shared" si="5"/>
        <v>2.3261643354890459E-2</v>
      </c>
      <c r="N93" s="18">
        <f t="shared" si="6"/>
        <v>4.5258620689655173E-2</v>
      </c>
      <c r="O93" s="8">
        <f t="shared" si="7"/>
        <v>32.434761904761906</v>
      </c>
      <c r="P93" s="14">
        <f t="shared" si="8"/>
        <v>1104.83</v>
      </c>
      <c r="Q93" s="16">
        <f t="shared" si="9"/>
        <v>1.6220545270359548</v>
      </c>
    </row>
    <row r="94" spans="1:17" x14ac:dyDescent="0.2">
      <c r="A94" s="2">
        <v>45665</v>
      </c>
      <c r="B94" s="3" t="s">
        <v>105</v>
      </c>
      <c r="C94" s="3" t="s">
        <v>19</v>
      </c>
      <c r="D94" s="3" t="s">
        <v>14</v>
      </c>
      <c r="E94" s="3" t="s">
        <v>20</v>
      </c>
      <c r="F94" s="3" t="s">
        <v>34</v>
      </c>
      <c r="G94" s="3" t="s">
        <v>25</v>
      </c>
      <c r="H94" s="3">
        <v>13512</v>
      </c>
      <c r="I94" s="3">
        <v>408</v>
      </c>
      <c r="J94" s="3">
        <v>12</v>
      </c>
      <c r="K94" s="12">
        <v>994.14</v>
      </c>
      <c r="L94" s="10">
        <v>1425.75</v>
      </c>
      <c r="M94" s="16">
        <f t="shared" si="5"/>
        <v>3.0195381882770871E-2</v>
      </c>
      <c r="N94" s="18">
        <f t="shared" si="6"/>
        <v>2.9411764705882353E-2</v>
      </c>
      <c r="O94" s="8">
        <f t="shared" si="7"/>
        <v>82.844999999999999</v>
      </c>
      <c r="P94" s="14">
        <f t="shared" si="8"/>
        <v>431.61</v>
      </c>
      <c r="Q94" s="16">
        <f t="shared" si="9"/>
        <v>0.4341541432796186</v>
      </c>
    </row>
    <row r="95" spans="1:17" x14ac:dyDescent="0.2">
      <c r="A95" s="2">
        <v>45665</v>
      </c>
      <c r="B95" s="3" t="s">
        <v>497</v>
      </c>
      <c r="C95" s="3" t="s">
        <v>156</v>
      </c>
      <c r="D95" s="3" t="s">
        <v>46</v>
      </c>
      <c r="E95" s="3" t="s">
        <v>20</v>
      </c>
      <c r="F95" s="3" t="s">
        <v>34</v>
      </c>
      <c r="G95" s="3" t="s">
        <v>17</v>
      </c>
      <c r="H95" s="3">
        <v>9217</v>
      </c>
      <c r="I95" s="3">
        <v>286</v>
      </c>
      <c r="J95" s="3">
        <v>3</v>
      </c>
      <c r="K95" s="12">
        <v>460.83</v>
      </c>
      <c r="L95" s="10">
        <v>160.77000000000001</v>
      </c>
      <c r="M95" s="16">
        <f t="shared" si="5"/>
        <v>3.1029619181946404E-2</v>
      </c>
      <c r="N95" s="18">
        <f t="shared" si="6"/>
        <v>1.048951048951049E-2</v>
      </c>
      <c r="O95" s="8">
        <f t="shared" si="7"/>
        <v>153.60999999999999</v>
      </c>
      <c r="P95" s="14">
        <f t="shared" si="8"/>
        <v>-300.05999999999995</v>
      </c>
      <c r="Q95" s="16">
        <f t="shared" si="9"/>
        <v>-0.65112948375756774</v>
      </c>
    </row>
    <row r="96" spans="1:17" x14ac:dyDescent="0.2">
      <c r="A96" s="2">
        <v>45665</v>
      </c>
      <c r="B96" s="3" t="s">
        <v>364</v>
      </c>
      <c r="C96" s="3" t="s">
        <v>74</v>
      </c>
      <c r="D96" s="3" t="s">
        <v>28</v>
      </c>
      <c r="E96" s="3" t="s">
        <v>15</v>
      </c>
      <c r="F96" s="3" t="s">
        <v>47</v>
      </c>
      <c r="G96" s="3" t="s">
        <v>17</v>
      </c>
      <c r="H96" s="3">
        <v>19995</v>
      </c>
      <c r="I96" s="3">
        <v>375</v>
      </c>
      <c r="J96" s="3">
        <v>2</v>
      </c>
      <c r="K96" s="12">
        <v>395.98</v>
      </c>
      <c r="L96" s="10">
        <v>35.049999999999997</v>
      </c>
      <c r="M96" s="16">
        <f t="shared" si="5"/>
        <v>1.8754688672168042E-2</v>
      </c>
      <c r="N96" s="18">
        <f t="shared" si="6"/>
        <v>5.3333333333333332E-3</v>
      </c>
      <c r="O96" s="8">
        <f t="shared" si="7"/>
        <v>197.99</v>
      </c>
      <c r="P96" s="14">
        <f t="shared" si="8"/>
        <v>-360.93</v>
      </c>
      <c r="Q96" s="16">
        <f t="shared" si="9"/>
        <v>-0.91148542855699777</v>
      </c>
    </row>
    <row r="97" spans="1:17" x14ac:dyDescent="0.2">
      <c r="A97" s="2">
        <v>45666</v>
      </c>
      <c r="B97" s="3" t="s">
        <v>595</v>
      </c>
      <c r="C97" s="3" t="s">
        <v>52</v>
      </c>
      <c r="D97" s="3" t="s">
        <v>24</v>
      </c>
      <c r="E97" s="3" t="s">
        <v>15</v>
      </c>
      <c r="F97" s="3" t="s">
        <v>34</v>
      </c>
      <c r="G97" s="3" t="s">
        <v>21</v>
      </c>
      <c r="H97" s="3">
        <v>2505</v>
      </c>
      <c r="I97" s="3">
        <v>254</v>
      </c>
      <c r="J97" s="3">
        <v>32</v>
      </c>
      <c r="K97" s="12">
        <v>81.23</v>
      </c>
      <c r="L97" s="10">
        <v>2819.18</v>
      </c>
      <c r="M97" s="16">
        <f t="shared" si="5"/>
        <v>0.10139720558882236</v>
      </c>
      <c r="N97" s="18">
        <f t="shared" si="6"/>
        <v>0.12598425196850394</v>
      </c>
      <c r="O97" s="8">
        <f t="shared" si="7"/>
        <v>2.5384375000000001</v>
      </c>
      <c r="P97" s="14">
        <f t="shared" si="8"/>
        <v>2737.95</v>
      </c>
      <c r="Q97" s="16">
        <f t="shared" si="9"/>
        <v>33.706143050597063</v>
      </c>
    </row>
    <row r="98" spans="1:17" x14ac:dyDescent="0.2">
      <c r="A98" s="2">
        <v>45666</v>
      </c>
      <c r="B98" s="3" t="s">
        <v>596</v>
      </c>
      <c r="C98" s="3" t="s">
        <v>52</v>
      </c>
      <c r="D98" s="3" t="s">
        <v>24</v>
      </c>
      <c r="E98" s="3" t="s">
        <v>20</v>
      </c>
      <c r="F98" s="3" t="s">
        <v>29</v>
      </c>
      <c r="G98" s="3" t="s">
        <v>17</v>
      </c>
      <c r="H98" s="3">
        <v>4540</v>
      </c>
      <c r="I98" s="3">
        <v>458</v>
      </c>
      <c r="J98" s="3">
        <v>57</v>
      </c>
      <c r="K98" s="12">
        <v>202.66</v>
      </c>
      <c r="L98" s="10">
        <v>4857.7700000000004</v>
      </c>
      <c r="M98" s="16">
        <f t="shared" si="5"/>
        <v>0.10088105726872247</v>
      </c>
      <c r="N98" s="18">
        <f t="shared" si="6"/>
        <v>0.12445414847161572</v>
      </c>
      <c r="O98" s="8">
        <f t="shared" si="7"/>
        <v>3.5554385964912281</v>
      </c>
      <c r="P98" s="14">
        <f t="shared" si="8"/>
        <v>4655.1100000000006</v>
      </c>
      <c r="Q98" s="16">
        <f t="shared" si="9"/>
        <v>22.970048356853848</v>
      </c>
    </row>
    <row r="99" spans="1:17" x14ac:dyDescent="0.2">
      <c r="A99" s="2">
        <v>45666</v>
      </c>
      <c r="B99" s="3" t="s">
        <v>370</v>
      </c>
      <c r="C99" s="3" t="s">
        <v>36</v>
      </c>
      <c r="D99" s="3" t="s">
        <v>37</v>
      </c>
      <c r="E99" s="3" t="s">
        <v>20</v>
      </c>
      <c r="F99" s="3" t="s">
        <v>16</v>
      </c>
      <c r="G99" s="3" t="s">
        <v>21</v>
      </c>
      <c r="H99" s="3">
        <v>5449</v>
      </c>
      <c r="I99" s="3">
        <v>276</v>
      </c>
      <c r="J99" s="3">
        <v>4</v>
      </c>
      <c r="K99" s="12">
        <v>1188.67</v>
      </c>
      <c r="L99" s="10">
        <v>449.04</v>
      </c>
      <c r="M99" s="16">
        <f t="shared" si="5"/>
        <v>5.0651495687282069E-2</v>
      </c>
      <c r="N99" s="18">
        <f t="shared" si="6"/>
        <v>1.4492753623188406E-2</v>
      </c>
      <c r="O99" s="8">
        <f t="shared" si="7"/>
        <v>297.16750000000002</v>
      </c>
      <c r="P99" s="14">
        <f t="shared" si="8"/>
        <v>-739.63000000000011</v>
      </c>
      <c r="Q99" s="16">
        <f t="shared" si="9"/>
        <v>-0.62223325229037496</v>
      </c>
    </row>
    <row r="100" spans="1:17" x14ac:dyDescent="0.2">
      <c r="A100" s="2">
        <v>45666</v>
      </c>
      <c r="B100" s="3" t="s">
        <v>507</v>
      </c>
      <c r="C100" s="3" t="s">
        <v>58</v>
      </c>
      <c r="D100" s="3" t="s">
        <v>37</v>
      </c>
      <c r="E100" s="3" t="s">
        <v>15</v>
      </c>
      <c r="F100" s="3" t="s">
        <v>16</v>
      </c>
      <c r="G100" s="3" t="s">
        <v>17</v>
      </c>
      <c r="H100" s="3">
        <v>6244</v>
      </c>
      <c r="I100" s="3">
        <v>183</v>
      </c>
      <c r="J100" s="3">
        <v>2</v>
      </c>
      <c r="K100" s="12">
        <v>691.09</v>
      </c>
      <c r="L100" s="10">
        <v>236.11</v>
      </c>
      <c r="M100" s="16">
        <f t="shared" si="5"/>
        <v>2.9308135810377962E-2</v>
      </c>
      <c r="N100" s="18">
        <f t="shared" si="6"/>
        <v>1.092896174863388E-2</v>
      </c>
      <c r="O100" s="8">
        <f t="shared" si="7"/>
        <v>345.54500000000002</v>
      </c>
      <c r="P100" s="14">
        <f t="shared" si="8"/>
        <v>-454.98</v>
      </c>
      <c r="Q100" s="16">
        <f t="shared" si="9"/>
        <v>-0.65835130012010012</v>
      </c>
    </row>
    <row r="101" spans="1:17" x14ac:dyDescent="0.2">
      <c r="A101" s="2">
        <v>45666</v>
      </c>
      <c r="B101" s="3" t="s">
        <v>597</v>
      </c>
      <c r="C101" s="3" t="s">
        <v>71</v>
      </c>
      <c r="D101" s="3" t="s">
        <v>37</v>
      </c>
      <c r="E101" s="3" t="s">
        <v>31</v>
      </c>
      <c r="F101" s="3" t="s">
        <v>50</v>
      </c>
      <c r="G101" s="3" t="s">
        <v>17</v>
      </c>
      <c r="H101" s="3">
        <v>6287</v>
      </c>
      <c r="I101" s="3">
        <v>378</v>
      </c>
      <c r="J101" s="3">
        <v>4</v>
      </c>
      <c r="K101" s="12">
        <v>1795.82</v>
      </c>
      <c r="L101" s="10">
        <v>444.64</v>
      </c>
      <c r="M101" s="16">
        <f t="shared" si="5"/>
        <v>6.0124065532050262E-2</v>
      </c>
      <c r="N101" s="18">
        <f t="shared" si="6"/>
        <v>1.0582010582010581E-2</v>
      </c>
      <c r="O101" s="8">
        <f t="shared" si="7"/>
        <v>448.95499999999998</v>
      </c>
      <c r="P101" s="14">
        <f t="shared" si="8"/>
        <v>-1351.1799999999998</v>
      </c>
      <c r="Q101" s="16">
        <f t="shared" si="9"/>
        <v>-0.75240280206256749</v>
      </c>
    </row>
    <row r="102" spans="1:17" x14ac:dyDescent="0.2">
      <c r="A102" s="2">
        <v>45666</v>
      </c>
      <c r="B102" s="3" t="s">
        <v>321</v>
      </c>
      <c r="C102" s="3" t="s">
        <v>54</v>
      </c>
      <c r="D102" s="3" t="s">
        <v>14</v>
      </c>
      <c r="E102" s="3" t="s">
        <v>20</v>
      </c>
      <c r="F102" s="3" t="s">
        <v>34</v>
      </c>
      <c r="G102" s="3" t="s">
        <v>21</v>
      </c>
      <c r="H102" s="3">
        <v>7152</v>
      </c>
      <c r="I102" s="3">
        <v>378</v>
      </c>
      <c r="J102" s="3">
        <v>19</v>
      </c>
      <c r="K102" s="12">
        <v>871.89</v>
      </c>
      <c r="L102" s="10">
        <v>2306.2199999999998</v>
      </c>
      <c r="M102" s="16">
        <f t="shared" si="5"/>
        <v>5.2852348993288591E-2</v>
      </c>
      <c r="N102" s="18">
        <f t="shared" si="6"/>
        <v>5.0264550264550262E-2</v>
      </c>
      <c r="O102" s="8">
        <f t="shared" si="7"/>
        <v>45.88894736842105</v>
      </c>
      <c r="P102" s="14">
        <f t="shared" si="8"/>
        <v>1434.33</v>
      </c>
      <c r="Q102" s="16">
        <f t="shared" si="9"/>
        <v>1.6450813749440869</v>
      </c>
    </row>
    <row r="103" spans="1:17" x14ac:dyDescent="0.2">
      <c r="A103" s="2">
        <v>45666</v>
      </c>
      <c r="B103" s="3" t="s">
        <v>331</v>
      </c>
      <c r="C103" s="3" t="s">
        <v>97</v>
      </c>
      <c r="D103" s="3" t="s">
        <v>46</v>
      </c>
      <c r="E103" s="3" t="s">
        <v>20</v>
      </c>
      <c r="F103" s="3" t="s">
        <v>16</v>
      </c>
      <c r="G103" s="3" t="s">
        <v>17</v>
      </c>
      <c r="H103" s="3">
        <v>19852</v>
      </c>
      <c r="I103" s="3">
        <v>386</v>
      </c>
      <c r="J103" s="3">
        <v>11</v>
      </c>
      <c r="K103" s="12">
        <v>525.51</v>
      </c>
      <c r="L103" s="10">
        <v>1087.93</v>
      </c>
      <c r="M103" s="16">
        <f t="shared" si="5"/>
        <v>1.9443884747128753E-2</v>
      </c>
      <c r="N103" s="18">
        <f t="shared" si="6"/>
        <v>2.8497409326424871E-2</v>
      </c>
      <c r="O103" s="8">
        <f t="shared" si="7"/>
        <v>47.773636363636363</v>
      </c>
      <c r="P103" s="14">
        <f t="shared" si="8"/>
        <v>562.42000000000007</v>
      </c>
      <c r="Q103" s="16">
        <f t="shared" si="9"/>
        <v>1.0702365321306921</v>
      </c>
    </row>
    <row r="104" spans="1:17" x14ac:dyDescent="0.2">
      <c r="A104" s="2">
        <v>45666</v>
      </c>
      <c r="B104" s="3" t="s">
        <v>598</v>
      </c>
      <c r="C104" s="3" t="s">
        <v>36</v>
      </c>
      <c r="D104" s="3" t="s">
        <v>37</v>
      </c>
      <c r="E104" s="3" t="s">
        <v>31</v>
      </c>
      <c r="F104" s="3" t="s">
        <v>34</v>
      </c>
      <c r="G104" s="3" t="s">
        <v>17</v>
      </c>
      <c r="H104" s="3">
        <v>6404</v>
      </c>
      <c r="I104" s="3">
        <v>260</v>
      </c>
      <c r="J104" s="3">
        <v>7</v>
      </c>
      <c r="K104" s="12">
        <v>1706.33</v>
      </c>
      <c r="L104" s="10">
        <v>1098.71</v>
      </c>
      <c r="M104" s="16">
        <f t="shared" si="5"/>
        <v>4.0599625234228609E-2</v>
      </c>
      <c r="N104" s="18">
        <f t="shared" si="6"/>
        <v>2.6923076923076925E-2</v>
      </c>
      <c r="O104" s="8">
        <f t="shared" si="7"/>
        <v>243.76142857142855</v>
      </c>
      <c r="P104" s="14">
        <f t="shared" si="8"/>
        <v>-607.61999999999989</v>
      </c>
      <c r="Q104" s="16">
        <f t="shared" si="9"/>
        <v>-0.35609758956356619</v>
      </c>
    </row>
    <row r="105" spans="1:17" x14ac:dyDescent="0.2">
      <c r="A105" s="2">
        <v>45666</v>
      </c>
      <c r="B105" s="3" t="s">
        <v>425</v>
      </c>
      <c r="C105" s="3" t="s">
        <v>110</v>
      </c>
      <c r="D105" s="3" t="s">
        <v>24</v>
      </c>
      <c r="E105" s="3" t="s">
        <v>20</v>
      </c>
      <c r="F105" s="3" t="s">
        <v>50</v>
      </c>
      <c r="G105" s="3" t="s">
        <v>17</v>
      </c>
      <c r="H105" s="3">
        <v>3301</v>
      </c>
      <c r="I105" s="3">
        <v>324</v>
      </c>
      <c r="J105" s="3">
        <v>27</v>
      </c>
      <c r="K105" s="12">
        <v>105.84</v>
      </c>
      <c r="L105" s="10">
        <v>3639.42</v>
      </c>
      <c r="M105" s="16">
        <f t="shared" si="5"/>
        <v>9.8152075128748864E-2</v>
      </c>
      <c r="N105" s="18">
        <f t="shared" si="6"/>
        <v>8.3333333333333329E-2</v>
      </c>
      <c r="O105" s="8">
        <f t="shared" si="7"/>
        <v>3.92</v>
      </c>
      <c r="P105" s="14">
        <f t="shared" si="8"/>
        <v>3533.58</v>
      </c>
      <c r="Q105" s="16">
        <f t="shared" si="9"/>
        <v>33.386054421768705</v>
      </c>
    </row>
    <row r="106" spans="1:17" x14ac:dyDescent="0.2">
      <c r="A106" s="2">
        <v>45666</v>
      </c>
      <c r="B106" s="3" t="s">
        <v>12</v>
      </c>
      <c r="C106" s="3" t="s">
        <v>27</v>
      </c>
      <c r="D106" s="3" t="s">
        <v>28</v>
      </c>
      <c r="E106" s="3" t="s">
        <v>15</v>
      </c>
      <c r="F106" s="3" t="s">
        <v>29</v>
      </c>
      <c r="G106" s="3" t="s">
        <v>17</v>
      </c>
      <c r="H106" s="3">
        <v>34349</v>
      </c>
      <c r="I106" s="3">
        <v>691</v>
      </c>
      <c r="J106" s="3">
        <v>2</v>
      </c>
      <c r="K106" s="12">
        <v>1004.21</v>
      </c>
      <c r="L106" s="10">
        <v>133.85</v>
      </c>
      <c r="M106" s="16">
        <f t="shared" si="5"/>
        <v>2.0117033974788204E-2</v>
      </c>
      <c r="N106" s="18">
        <f t="shared" si="6"/>
        <v>2.8943560057887118E-3</v>
      </c>
      <c r="O106" s="8">
        <f t="shared" si="7"/>
        <v>502.10500000000002</v>
      </c>
      <c r="P106" s="14">
        <f t="shared" si="8"/>
        <v>-870.36</v>
      </c>
      <c r="Q106" s="16">
        <f t="shared" si="9"/>
        <v>-0.86671114607502409</v>
      </c>
    </row>
    <row r="107" spans="1:17" x14ac:dyDescent="0.2">
      <c r="A107" s="2">
        <v>45666</v>
      </c>
      <c r="B107" s="3" t="s">
        <v>599</v>
      </c>
      <c r="C107" s="3" t="s">
        <v>74</v>
      </c>
      <c r="D107" s="3" t="s">
        <v>28</v>
      </c>
      <c r="E107" s="3" t="s">
        <v>31</v>
      </c>
      <c r="F107" s="3" t="s">
        <v>16</v>
      </c>
      <c r="G107" s="3" t="s">
        <v>25</v>
      </c>
      <c r="H107" s="3">
        <v>35046</v>
      </c>
      <c r="I107" s="3">
        <v>988</v>
      </c>
      <c r="J107" s="3">
        <v>20</v>
      </c>
      <c r="K107" s="12">
        <v>1114.4100000000001</v>
      </c>
      <c r="L107" s="10">
        <v>1367.68</v>
      </c>
      <c r="M107" s="16">
        <f t="shared" si="5"/>
        <v>2.8191519716943447E-2</v>
      </c>
      <c r="N107" s="18">
        <f t="shared" si="6"/>
        <v>2.0242914979757085E-2</v>
      </c>
      <c r="O107" s="8">
        <f t="shared" si="7"/>
        <v>55.720500000000001</v>
      </c>
      <c r="P107" s="14">
        <f t="shared" si="8"/>
        <v>253.26999999999998</v>
      </c>
      <c r="Q107" s="16">
        <f t="shared" si="9"/>
        <v>0.22726824059367734</v>
      </c>
    </row>
    <row r="108" spans="1:17" x14ac:dyDescent="0.2">
      <c r="A108" s="2">
        <v>45666</v>
      </c>
      <c r="B108" s="3" t="s">
        <v>22</v>
      </c>
      <c r="C108" s="3" t="s">
        <v>120</v>
      </c>
      <c r="D108" s="3" t="s">
        <v>14</v>
      </c>
      <c r="E108" s="3" t="s">
        <v>20</v>
      </c>
      <c r="F108" s="3" t="s">
        <v>50</v>
      </c>
      <c r="G108" s="3" t="s">
        <v>17</v>
      </c>
      <c r="H108" s="3">
        <v>10546</v>
      </c>
      <c r="I108" s="3">
        <v>405</v>
      </c>
      <c r="J108" s="3">
        <v>14</v>
      </c>
      <c r="K108" s="12">
        <v>872.25</v>
      </c>
      <c r="L108" s="10">
        <v>1655.39</v>
      </c>
      <c r="M108" s="16">
        <f t="shared" si="5"/>
        <v>3.8403186042101273E-2</v>
      </c>
      <c r="N108" s="18">
        <f t="shared" si="6"/>
        <v>3.4567901234567898E-2</v>
      </c>
      <c r="O108" s="8">
        <f t="shared" si="7"/>
        <v>62.303571428571431</v>
      </c>
      <c r="P108" s="14">
        <f t="shared" si="8"/>
        <v>783.1400000000001</v>
      </c>
      <c r="Q108" s="16">
        <f t="shared" si="9"/>
        <v>0.89783892232731455</v>
      </c>
    </row>
    <row r="109" spans="1:17" x14ac:dyDescent="0.2">
      <c r="A109" s="2">
        <v>45666</v>
      </c>
      <c r="B109" s="3" t="s">
        <v>600</v>
      </c>
      <c r="C109" s="3" t="s">
        <v>33</v>
      </c>
      <c r="D109" s="3" t="s">
        <v>28</v>
      </c>
      <c r="E109" s="3" t="s">
        <v>20</v>
      </c>
      <c r="F109" s="3" t="s">
        <v>16</v>
      </c>
      <c r="G109" s="3" t="s">
        <v>17</v>
      </c>
      <c r="H109" s="3">
        <v>39049</v>
      </c>
      <c r="I109" s="3">
        <v>1267</v>
      </c>
      <c r="J109" s="3">
        <v>11</v>
      </c>
      <c r="K109" s="12">
        <v>1170.51</v>
      </c>
      <c r="L109" s="10">
        <v>871.05</v>
      </c>
      <c r="M109" s="16">
        <f t="shared" si="5"/>
        <v>3.2446413480498863E-2</v>
      </c>
      <c r="N109" s="18">
        <f t="shared" si="6"/>
        <v>8.6819258089976328E-3</v>
      </c>
      <c r="O109" s="8">
        <f t="shared" si="7"/>
        <v>106.41</v>
      </c>
      <c r="P109" s="14">
        <f t="shared" si="8"/>
        <v>-299.46000000000004</v>
      </c>
      <c r="Q109" s="16">
        <f t="shared" si="9"/>
        <v>-0.2558371991695928</v>
      </c>
    </row>
    <row r="110" spans="1:17" x14ac:dyDescent="0.2">
      <c r="A110" s="2">
        <v>45667</v>
      </c>
      <c r="B110" s="3" t="s">
        <v>601</v>
      </c>
      <c r="C110" s="3" t="s">
        <v>33</v>
      </c>
      <c r="D110" s="3" t="s">
        <v>28</v>
      </c>
      <c r="E110" s="3" t="s">
        <v>31</v>
      </c>
      <c r="F110" s="3" t="s">
        <v>34</v>
      </c>
      <c r="G110" s="3" t="s">
        <v>17</v>
      </c>
      <c r="H110" s="3">
        <v>29396</v>
      </c>
      <c r="I110" s="3">
        <v>533</v>
      </c>
      <c r="J110" s="3">
        <v>7</v>
      </c>
      <c r="K110" s="12">
        <v>685.33</v>
      </c>
      <c r="L110" s="10">
        <v>552.22</v>
      </c>
      <c r="M110" s="16">
        <f t="shared" si="5"/>
        <v>1.8131718601170226E-2</v>
      </c>
      <c r="N110" s="18">
        <f t="shared" si="6"/>
        <v>1.3133208255159476E-2</v>
      </c>
      <c r="O110" s="8">
        <f t="shared" si="7"/>
        <v>97.90428571428572</v>
      </c>
      <c r="P110" s="14">
        <f t="shared" si="8"/>
        <v>-133.11000000000001</v>
      </c>
      <c r="Q110" s="16">
        <f t="shared" si="9"/>
        <v>-0.19422759838326062</v>
      </c>
    </row>
    <row r="111" spans="1:17" x14ac:dyDescent="0.2">
      <c r="A111" s="2">
        <v>45667</v>
      </c>
      <c r="B111" s="3" t="s">
        <v>356</v>
      </c>
      <c r="C111" s="3" t="s">
        <v>52</v>
      </c>
      <c r="D111" s="3" t="s">
        <v>24</v>
      </c>
      <c r="E111" s="3" t="s">
        <v>20</v>
      </c>
      <c r="F111" s="3" t="s">
        <v>16</v>
      </c>
      <c r="G111" s="3" t="s">
        <v>17</v>
      </c>
      <c r="H111" s="3">
        <v>2356</v>
      </c>
      <c r="I111" s="3">
        <v>319</v>
      </c>
      <c r="J111" s="3">
        <v>43</v>
      </c>
      <c r="K111" s="12">
        <v>135.85</v>
      </c>
      <c r="L111" s="10">
        <v>3850.78</v>
      </c>
      <c r="M111" s="16">
        <f t="shared" si="5"/>
        <v>0.13539898132427844</v>
      </c>
      <c r="N111" s="18">
        <f t="shared" si="6"/>
        <v>0.13479623824451412</v>
      </c>
      <c r="O111" s="8">
        <f t="shared" si="7"/>
        <v>3.159302325581395</v>
      </c>
      <c r="P111" s="14">
        <f t="shared" si="8"/>
        <v>3714.9300000000003</v>
      </c>
      <c r="Q111" s="16">
        <f t="shared" si="9"/>
        <v>27.345822598454181</v>
      </c>
    </row>
    <row r="112" spans="1:17" x14ac:dyDescent="0.2">
      <c r="A112" s="2">
        <v>45667</v>
      </c>
      <c r="B112" s="3" t="s">
        <v>427</v>
      </c>
      <c r="C112" s="3" t="s">
        <v>120</v>
      </c>
      <c r="D112" s="3" t="s">
        <v>14</v>
      </c>
      <c r="E112" s="3" t="s">
        <v>20</v>
      </c>
      <c r="F112" s="3" t="s">
        <v>47</v>
      </c>
      <c r="G112" s="3" t="s">
        <v>21</v>
      </c>
      <c r="H112" s="3">
        <v>5807</v>
      </c>
      <c r="I112" s="3">
        <v>305</v>
      </c>
      <c r="J112" s="3">
        <v>17</v>
      </c>
      <c r="K112" s="12">
        <v>796.56</v>
      </c>
      <c r="L112" s="10">
        <v>1633.37</v>
      </c>
      <c r="M112" s="16">
        <f t="shared" si="5"/>
        <v>5.2522817289478219E-2</v>
      </c>
      <c r="N112" s="18">
        <f t="shared" si="6"/>
        <v>5.5737704918032788E-2</v>
      </c>
      <c r="O112" s="8">
        <f t="shared" si="7"/>
        <v>46.85647058823529</v>
      </c>
      <c r="P112" s="14">
        <f t="shared" si="8"/>
        <v>836.81</v>
      </c>
      <c r="Q112" s="16">
        <f t="shared" si="9"/>
        <v>1.050529778045596</v>
      </c>
    </row>
    <row r="113" spans="1:17" x14ac:dyDescent="0.2">
      <c r="A113" s="2">
        <v>45667</v>
      </c>
      <c r="B113" s="3" t="s">
        <v>602</v>
      </c>
      <c r="C113" s="3" t="s">
        <v>49</v>
      </c>
      <c r="D113" s="3" t="s">
        <v>46</v>
      </c>
      <c r="E113" s="3" t="s">
        <v>15</v>
      </c>
      <c r="F113" s="3" t="s">
        <v>47</v>
      </c>
      <c r="G113" s="3" t="s">
        <v>17</v>
      </c>
      <c r="H113" s="3">
        <v>11450</v>
      </c>
      <c r="I113" s="3">
        <v>341</v>
      </c>
      <c r="J113" s="3">
        <v>4</v>
      </c>
      <c r="K113" s="12">
        <v>442.2</v>
      </c>
      <c r="L113" s="10">
        <v>371.81</v>
      </c>
      <c r="M113" s="16">
        <f t="shared" si="5"/>
        <v>2.9781659388646287E-2</v>
      </c>
      <c r="N113" s="18">
        <f t="shared" si="6"/>
        <v>1.1730205278592375E-2</v>
      </c>
      <c r="O113" s="8">
        <f t="shared" si="7"/>
        <v>110.55</v>
      </c>
      <c r="P113" s="14">
        <f t="shared" si="8"/>
        <v>-70.389999999999986</v>
      </c>
      <c r="Q113" s="16">
        <f t="shared" si="9"/>
        <v>-0.15918136589778378</v>
      </c>
    </row>
    <row r="114" spans="1:17" x14ac:dyDescent="0.2">
      <c r="A114" s="2">
        <v>45667</v>
      </c>
      <c r="B114" s="3" t="s">
        <v>603</v>
      </c>
      <c r="C114" s="3" t="s">
        <v>110</v>
      </c>
      <c r="D114" s="3" t="s">
        <v>24</v>
      </c>
      <c r="E114" s="3" t="s">
        <v>20</v>
      </c>
      <c r="F114" s="3" t="s">
        <v>47</v>
      </c>
      <c r="G114" s="3" t="s">
        <v>17</v>
      </c>
      <c r="H114" s="3">
        <v>4244</v>
      </c>
      <c r="I114" s="3">
        <v>554</v>
      </c>
      <c r="J114" s="3">
        <v>52</v>
      </c>
      <c r="K114" s="12">
        <v>0</v>
      </c>
      <c r="L114" s="10">
        <v>4858.5</v>
      </c>
      <c r="M114" s="16">
        <f t="shared" si="5"/>
        <v>0.13053722902921772</v>
      </c>
      <c r="N114" s="18">
        <f t="shared" si="6"/>
        <v>9.3862815884476536E-2</v>
      </c>
      <c r="O114" s="8">
        <f t="shared" si="7"/>
        <v>0</v>
      </c>
      <c r="P114" s="14">
        <f t="shared" si="8"/>
        <v>4858.5</v>
      </c>
      <c r="Q114" s="16">
        <f t="shared" si="9"/>
        <v>0</v>
      </c>
    </row>
    <row r="115" spans="1:17" x14ac:dyDescent="0.2">
      <c r="A115" s="2">
        <v>45667</v>
      </c>
      <c r="B115" s="3" t="s">
        <v>604</v>
      </c>
      <c r="C115" s="3" t="s">
        <v>58</v>
      </c>
      <c r="D115" s="3" t="s">
        <v>37</v>
      </c>
      <c r="E115" s="3" t="s">
        <v>15</v>
      </c>
      <c r="F115" s="3" t="s">
        <v>34</v>
      </c>
      <c r="G115" s="3" t="s">
        <v>17</v>
      </c>
      <c r="H115" s="3">
        <v>6434</v>
      </c>
      <c r="I115" s="3">
        <v>248</v>
      </c>
      <c r="J115" s="3">
        <v>1</v>
      </c>
      <c r="K115" s="12">
        <v>1255.67</v>
      </c>
      <c r="L115" s="10">
        <v>177.65</v>
      </c>
      <c r="M115" s="16">
        <f t="shared" si="5"/>
        <v>3.854522847373329E-2</v>
      </c>
      <c r="N115" s="18">
        <f t="shared" si="6"/>
        <v>4.0322580645161289E-3</v>
      </c>
      <c r="O115" s="8">
        <f t="shared" si="7"/>
        <v>1255.67</v>
      </c>
      <c r="P115" s="14">
        <f t="shared" si="8"/>
        <v>-1078.02</v>
      </c>
      <c r="Q115" s="16">
        <f t="shared" si="9"/>
        <v>-0.85852174536303316</v>
      </c>
    </row>
    <row r="116" spans="1:17" x14ac:dyDescent="0.2">
      <c r="A116" s="2">
        <v>45667</v>
      </c>
      <c r="B116" s="3" t="s">
        <v>605</v>
      </c>
      <c r="C116" s="3" t="s">
        <v>97</v>
      </c>
      <c r="D116" s="3" t="s">
        <v>46</v>
      </c>
      <c r="E116" s="3" t="s">
        <v>20</v>
      </c>
      <c r="F116" s="3" t="s">
        <v>47</v>
      </c>
      <c r="G116" s="3" t="s">
        <v>21</v>
      </c>
      <c r="H116" s="3">
        <v>17083</v>
      </c>
      <c r="I116" s="3">
        <v>614</v>
      </c>
      <c r="J116" s="3">
        <v>21</v>
      </c>
      <c r="K116" s="12">
        <v>745.39</v>
      </c>
      <c r="L116" s="10">
        <v>2177.4</v>
      </c>
      <c r="M116" s="16">
        <f t="shared" si="5"/>
        <v>3.5942164725165371E-2</v>
      </c>
      <c r="N116" s="18">
        <f t="shared" si="6"/>
        <v>3.4201954397394138E-2</v>
      </c>
      <c r="O116" s="8">
        <f t="shared" si="7"/>
        <v>35.494761904761901</v>
      </c>
      <c r="P116" s="14">
        <f t="shared" si="8"/>
        <v>1432.0100000000002</v>
      </c>
      <c r="Q116" s="16">
        <f t="shared" si="9"/>
        <v>1.9211553683306728</v>
      </c>
    </row>
    <row r="117" spans="1:17" x14ac:dyDescent="0.2">
      <c r="A117" s="2">
        <v>45667</v>
      </c>
      <c r="B117" s="3" t="s">
        <v>606</v>
      </c>
      <c r="C117" s="3" t="s">
        <v>58</v>
      </c>
      <c r="D117" s="3" t="s">
        <v>37</v>
      </c>
      <c r="E117" s="3" t="s">
        <v>20</v>
      </c>
      <c r="F117" s="3" t="s">
        <v>29</v>
      </c>
      <c r="G117" s="3" t="s">
        <v>17</v>
      </c>
      <c r="H117" s="3">
        <v>6446</v>
      </c>
      <c r="I117" s="3">
        <v>365</v>
      </c>
      <c r="J117" s="3">
        <v>4</v>
      </c>
      <c r="K117" s="12">
        <v>2854.25</v>
      </c>
      <c r="L117" s="10">
        <v>93.46</v>
      </c>
      <c r="M117" s="16">
        <f t="shared" si="5"/>
        <v>5.6624263108904747E-2</v>
      </c>
      <c r="N117" s="18">
        <f t="shared" si="6"/>
        <v>1.0958904109589041E-2</v>
      </c>
      <c r="O117" s="8">
        <f t="shared" si="7"/>
        <v>713.5625</v>
      </c>
      <c r="P117" s="14">
        <f t="shared" si="8"/>
        <v>-2760.79</v>
      </c>
      <c r="Q117" s="16">
        <f t="shared" si="9"/>
        <v>-0.96725584654462637</v>
      </c>
    </row>
    <row r="118" spans="1:17" x14ac:dyDescent="0.2">
      <c r="A118" s="2">
        <v>45667</v>
      </c>
      <c r="B118" s="3" t="s">
        <v>607</v>
      </c>
      <c r="C118" s="3" t="s">
        <v>33</v>
      </c>
      <c r="D118" s="3" t="s">
        <v>28</v>
      </c>
      <c r="E118" s="3" t="s">
        <v>20</v>
      </c>
      <c r="F118" s="3" t="s">
        <v>50</v>
      </c>
      <c r="G118" s="3" t="s">
        <v>21</v>
      </c>
      <c r="H118" s="3">
        <v>29058</v>
      </c>
      <c r="I118" s="3">
        <v>612</v>
      </c>
      <c r="J118" s="3">
        <v>11</v>
      </c>
      <c r="K118" s="12">
        <v>643.16999999999996</v>
      </c>
      <c r="L118" s="10">
        <v>469.2</v>
      </c>
      <c r="M118" s="16">
        <f t="shared" si="5"/>
        <v>2.1061325624612843E-2</v>
      </c>
      <c r="N118" s="18">
        <f t="shared" si="6"/>
        <v>1.7973856209150325E-2</v>
      </c>
      <c r="O118" s="8">
        <f t="shared" si="7"/>
        <v>58.47</v>
      </c>
      <c r="P118" s="14">
        <f t="shared" si="8"/>
        <v>-173.96999999999997</v>
      </c>
      <c r="Q118" s="16">
        <f t="shared" si="9"/>
        <v>-0.27048836233033252</v>
      </c>
    </row>
    <row r="119" spans="1:17" x14ac:dyDescent="0.2">
      <c r="A119" s="2">
        <v>45667</v>
      </c>
      <c r="B119" s="3" t="s">
        <v>608</v>
      </c>
      <c r="C119" s="3" t="s">
        <v>97</v>
      </c>
      <c r="D119" s="3" t="s">
        <v>46</v>
      </c>
      <c r="E119" s="3" t="s">
        <v>31</v>
      </c>
      <c r="F119" s="3" t="s">
        <v>47</v>
      </c>
      <c r="G119" s="3" t="s">
        <v>17</v>
      </c>
      <c r="H119" s="3">
        <v>11716</v>
      </c>
      <c r="I119" s="3">
        <v>408</v>
      </c>
      <c r="J119" s="3">
        <v>14</v>
      </c>
      <c r="K119" s="12">
        <v>455.4</v>
      </c>
      <c r="L119" s="10">
        <v>865.93</v>
      </c>
      <c r="M119" s="16">
        <f t="shared" si="5"/>
        <v>3.4824172072379651E-2</v>
      </c>
      <c r="N119" s="18">
        <f t="shared" si="6"/>
        <v>3.4313725490196081E-2</v>
      </c>
      <c r="O119" s="8">
        <f t="shared" si="7"/>
        <v>32.528571428571425</v>
      </c>
      <c r="P119" s="14">
        <f t="shared" si="8"/>
        <v>410.53</v>
      </c>
      <c r="Q119" s="16">
        <f t="shared" si="9"/>
        <v>0.90147123407992968</v>
      </c>
    </row>
    <row r="120" spans="1:17" x14ac:dyDescent="0.2">
      <c r="A120" s="2">
        <v>45667</v>
      </c>
      <c r="B120" s="3" t="s">
        <v>131</v>
      </c>
      <c r="C120" s="3" t="s">
        <v>45</v>
      </c>
      <c r="D120" s="3" t="s">
        <v>46</v>
      </c>
      <c r="E120" s="3" t="s">
        <v>31</v>
      </c>
      <c r="F120" s="3" t="s">
        <v>29</v>
      </c>
      <c r="G120" s="3" t="s">
        <v>17</v>
      </c>
      <c r="H120" s="3">
        <v>19815</v>
      </c>
      <c r="I120" s="3">
        <v>737</v>
      </c>
      <c r="J120" s="3">
        <v>29</v>
      </c>
      <c r="K120" s="12">
        <v>811.73</v>
      </c>
      <c r="L120" s="10">
        <v>1584.84</v>
      </c>
      <c r="M120" s="16">
        <f t="shared" si="5"/>
        <v>3.7194044915468079E-2</v>
      </c>
      <c r="N120" s="18">
        <f t="shared" si="6"/>
        <v>3.9348710990502037E-2</v>
      </c>
      <c r="O120" s="8">
        <f t="shared" si="7"/>
        <v>27.990689655172414</v>
      </c>
      <c r="P120" s="14">
        <f t="shared" si="8"/>
        <v>773.1099999999999</v>
      </c>
      <c r="Q120" s="16">
        <f t="shared" si="9"/>
        <v>0.95242260357508024</v>
      </c>
    </row>
    <row r="121" spans="1:17" x14ac:dyDescent="0.2">
      <c r="A121" s="2">
        <v>45667</v>
      </c>
      <c r="B121" s="3" t="s">
        <v>302</v>
      </c>
      <c r="C121" s="3" t="s">
        <v>45</v>
      </c>
      <c r="D121" s="3" t="s">
        <v>46</v>
      </c>
      <c r="E121" s="3" t="s">
        <v>20</v>
      </c>
      <c r="F121" s="3" t="s">
        <v>29</v>
      </c>
      <c r="G121" s="3" t="s">
        <v>17</v>
      </c>
      <c r="H121" s="3">
        <v>19293</v>
      </c>
      <c r="I121" s="3">
        <v>502</v>
      </c>
      <c r="J121" s="3">
        <v>9</v>
      </c>
      <c r="K121" s="12">
        <v>694.77</v>
      </c>
      <c r="L121" s="10">
        <v>791.84</v>
      </c>
      <c r="M121" s="16">
        <f t="shared" si="5"/>
        <v>2.601979992743482E-2</v>
      </c>
      <c r="N121" s="18">
        <f t="shared" si="6"/>
        <v>1.7928286852589643E-2</v>
      </c>
      <c r="O121" s="8">
        <f t="shared" si="7"/>
        <v>77.196666666666658</v>
      </c>
      <c r="P121" s="14">
        <f t="shared" si="8"/>
        <v>97.07000000000005</v>
      </c>
      <c r="Q121" s="16">
        <f t="shared" si="9"/>
        <v>0.13971530146667249</v>
      </c>
    </row>
    <row r="122" spans="1:17" x14ac:dyDescent="0.2">
      <c r="A122" s="2">
        <v>45667</v>
      </c>
      <c r="B122" s="3" t="s">
        <v>609</v>
      </c>
      <c r="C122" s="3" t="s">
        <v>58</v>
      </c>
      <c r="D122" s="3" t="s">
        <v>37</v>
      </c>
      <c r="E122" s="3" t="s">
        <v>20</v>
      </c>
      <c r="F122" s="3" t="s">
        <v>50</v>
      </c>
      <c r="G122" s="3" t="s">
        <v>21</v>
      </c>
      <c r="H122" s="3">
        <v>6210</v>
      </c>
      <c r="I122" s="3">
        <v>271</v>
      </c>
      <c r="J122" s="3">
        <v>5</v>
      </c>
      <c r="K122" s="12">
        <v>1817.78</v>
      </c>
      <c r="L122" s="10">
        <v>630.53</v>
      </c>
      <c r="M122" s="16">
        <f t="shared" si="5"/>
        <v>4.363929146537842E-2</v>
      </c>
      <c r="N122" s="18">
        <f t="shared" si="6"/>
        <v>1.8450184501845018E-2</v>
      </c>
      <c r="O122" s="8">
        <f t="shared" si="7"/>
        <v>363.55599999999998</v>
      </c>
      <c r="P122" s="14">
        <f t="shared" si="8"/>
        <v>-1187.25</v>
      </c>
      <c r="Q122" s="16">
        <f t="shared" si="9"/>
        <v>-0.65313184213711228</v>
      </c>
    </row>
    <row r="123" spans="1:17" x14ac:dyDescent="0.2">
      <c r="A123" s="2">
        <v>45667</v>
      </c>
      <c r="B123" s="3" t="s">
        <v>610</v>
      </c>
      <c r="C123" s="3" t="s">
        <v>54</v>
      </c>
      <c r="D123" s="3" t="s">
        <v>14</v>
      </c>
      <c r="E123" s="3" t="s">
        <v>20</v>
      </c>
      <c r="F123" s="3" t="s">
        <v>50</v>
      </c>
      <c r="G123" s="3" t="s">
        <v>17</v>
      </c>
      <c r="H123" s="3">
        <v>8090</v>
      </c>
      <c r="I123" s="3">
        <v>579</v>
      </c>
      <c r="J123" s="3">
        <v>23</v>
      </c>
      <c r="K123" s="12">
        <v>1562.16</v>
      </c>
      <c r="L123" s="10">
        <v>2268.66</v>
      </c>
      <c r="M123" s="16">
        <f t="shared" si="5"/>
        <v>7.1569839307787389E-2</v>
      </c>
      <c r="N123" s="18">
        <f t="shared" si="6"/>
        <v>3.9723661485319514E-2</v>
      </c>
      <c r="O123" s="8">
        <f t="shared" si="7"/>
        <v>67.92</v>
      </c>
      <c r="P123" s="14">
        <f t="shared" si="8"/>
        <v>706.49999999999977</v>
      </c>
      <c r="Q123" s="16">
        <f t="shared" si="9"/>
        <v>0.45225841143032708</v>
      </c>
    </row>
    <row r="124" spans="1:17" x14ac:dyDescent="0.2">
      <c r="A124" s="2">
        <v>45667</v>
      </c>
      <c r="B124" s="3" t="s">
        <v>611</v>
      </c>
      <c r="C124" s="3" t="s">
        <v>33</v>
      </c>
      <c r="D124" s="3" t="s">
        <v>28</v>
      </c>
      <c r="E124" s="3" t="s">
        <v>20</v>
      </c>
      <c r="F124" s="3" t="s">
        <v>47</v>
      </c>
      <c r="G124" s="3" t="s">
        <v>21</v>
      </c>
      <c r="H124" s="3">
        <v>32376</v>
      </c>
      <c r="I124" s="3">
        <v>292</v>
      </c>
      <c r="J124" s="3">
        <v>4</v>
      </c>
      <c r="K124" s="12">
        <v>300.07</v>
      </c>
      <c r="L124" s="10">
        <v>284.25</v>
      </c>
      <c r="M124" s="16">
        <f t="shared" si="5"/>
        <v>9.0190264393377809E-3</v>
      </c>
      <c r="N124" s="18">
        <f t="shared" si="6"/>
        <v>1.3698630136986301E-2</v>
      </c>
      <c r="O124" s="8">
        <f t="shared" si="7"/>
        <v>75.017499999999998</v>
      </c>
      <c r="P124" s="14">
        <f t="shared" si="8"/>
        <v>-15.819999999999993</v>
      </c>
      <c r="Q124" s="16">
        <f t="shared" si="9"/>
        <v>-5.2721031759256153E-2</v>
      </c>
    </row>
    <row r="125" spans="1:17" x14ac:dyDescent="0.2">
      <c r="A125" s="2">
        <v>45668</v>
      </c>
      <c r="B125" s="3" t="s">
        <v>204</v>
      </c>
      <c r="C125" s="3" t="s">
        <v>110</v>
      </c>
      <c r="D125" s="3" t="s">
        <v>24</v>
      </c>
      <c r="E125" s="3" t="s">
        <v>20</v>
      </c>
      <c r="F125" s="3" t="s">
        <v>47</v>
      </c>
      <c r="G125" s="3" t="s">
        <v>17</v>
      </c>
      <c r="H125" s="3">
        <v>4907</v>
      </c>
      <c r="I125" s="3">
        <v>579</v>
      </c>
      <c r="J125" s="3">
        <v>61</v>
      </c>
      <c r="K125" s="12">
        <v>241.88</v>
      </c>
      <c r="L125" s="10">
        <v>6388.75</v>
      </c>
      <c r="M125" s="16">
        <f t="shared" si="5"/>
        <v>0.11799470144691257</v>
      </c>
      <c r="N125" s="18">
        <f t="shared" si="6"/>
        <v>0.10535405872193437</v>
      </c>
      <c r="O125" s="8">
        <f t="shared" si="7"/>
        <v>3.965245901639344</v>
      </c>
      <c r="P125" s="14">
        <f t="shared" si="8"/>
        <v>6146.87</v>
      </c>
      <c r="Q125" s="16">
        <f t="shared" si="9"/>
        <v>25.412890689598147</v>
      </c>
    </row>
    <row r="126" spans="1:17" x14ac:dyDescent="0.2">
      <c r="A126" s="2">
        <v>45668</v>
      </c>
      <c r="B126" s="3" t="s">
        <v>157</v>
      </c>
      <c r="C126" s="3" t="s">
        <v>97</v>
      </c>
      <c r="D126" s="3" t="s">
        <v>46</v>
      </c>
      <c r="E126" s="3" t="s">
        <v>20</v>
      </c>
      <c r="F126" s="3" t="s">
        <v>29</v>
      </c>
      <c r="G126" s="3" t="s">
        <v>25</v>
      </c>
      <c r="H126" s="3">
        <v>15209</v>
      </c>
      <c r="I126" s="3">
        <v>399</v>
      </c>
      <c r="J126" s="3">
        <v>10</v>
      </c>
      <c r="K126" s="12">
        <v>402.69</v>
      </c>
      <c r="L126" s="10">
        <v>673.24</v>
      </c>
      <c r="M126" s="16">
        <f t="shared" si="5"/>
        <v>2.6234466434348083E-2</v>
      </c>
      <c r="N126" s="18">
        <f t="shared" si="6"/>
        <v>2.5062656641604009E-2</v>
      </c>
      <c r="O126" s="8">
        <f t="shared" si="7"/>
        <v>40.268999999999998</v>
      </c>
      <c r="P126" s="14">
        <f t="shared" si="8"/>
        <v>270.55</v>
      </c>
      <c r="Q126" s="16">
        <f t="shared" si="9"/>
        <v>0.67185676326702926</v>
      </c>
    </row>
    <row r="127" spans="1:17" x14ac:dyDescent="0.2">
      <c r="A127" s="2">
        <v>45668</v>
      </c>
      <c r="B127" s="3" t="s">
        <v>244</v>
      </c>
      <c r="C127" s="3" t="s">
        <v>54</v>
      </c>
      <c r="D127" s="3" t="s">
        <v>14</v>
      </c>
      <c r="E127" s="3" t="s">
        <v>20</v>
      </c>
      <c r="F127" s="3" t="s">
        <v>34</v>
      </c>
      <c r="G127" s="3" t="s">
        <v>21</v>
      </c>
      <c r="H127" s="3">
        <v>5897</v>
      </c>
      <c r="I127" s="3">
        <v>187</v>
      </c>
      <c r="J127" s="3">
        <v>7</v>
      </c>
      <c r="K127" s="12">
        <v>429.62</v>
      </c>
      <c r="L127" s="10">
        <v>456.51</v>
      </c>
      <c r="M127" s="16">
        <f t="shared" si="5"/>
        <v>3.1711039511616079E-2</v>
      </c>
      <c r="N127" s="18">
        <f t="shared" si="6"/>
        <v>3.7433155080213901E-2</v>
      </c>
      <c r="O127" s="8">
        <f t="shared" si="7"/>
        <v>61.374285714285712</v>
      </c>
      <c r="P127" s="14">
        <f t="shared" si="8"/>
        <v>26.889999999999986</v>
      </c>
      <c r="Q127" s="16">
        <f t="shared" si="9"/>
        <v>6.2590195987151404E-2</v>
      </c>
    </row>
    <row r="128" spans="1:17" x14ac:dyDescent="0.2">
      <c r="A128" s="2">
        <v>45668</v>
      </c>
      <c r="B128" s="3" t="s">
        <v>248</v>
      </c>
      <c r="C128" s="3" t="s">
        <v>41</v>
      </c>
      <c r="D128" s="3" t="s">
        <v>24</v>
      </c>
      <c r="E128" s="3" t="s">
        <v>20</v>
      </c>
      <c r="F128" s="3" t="s">
        <v>29</v>
      </c>
      <c r="G128" s="3" t="s">
        <v>21</v>
      </c>
      <c r="H128" s="3">
        <v>1362</v>
      </c>
      <c r="I128" s="3">
        <v>128</v>
      </c>
      <c r="J128" s="3">
        <v>23</v>
      </c>
      <c r="K128" s="12">
        <v>54.09</v>
      </c>
      <c r="L128" s="10">
        <v>2845.68</v>
      </c>
      <c r="M128" s="16">
        <f t="shared" si="5"/>
        <v>9.3979441997063137E-2</v>
      </c>
      <c r="N128" s="18">
        <f t="shared" si="6"/>
        <v>0.1796875</v>
      </c>
      <c r="O128" s="8">
        <f t="shared" si="7"/>
        <v>2.3517391304347828</v>
      </c>
      <c r="P128" s="14">
        <f t="shared" si="8"/>
        <v>2791.5899999999997</v>
      </c>
      <c r="Q128" s="16">
        <f t="shared" si="9"/>
        <v>51.610094287298935</v>
      </c>
    </row>
    <row r="129" spans="1:17" x14ac:dyDescent="0.2">
      <c r="A129" s="2">
        <v>45668</v>
      </c>
      <c r="B129" s="3" t="s">
        <v>612</v>
      </c>
      <c r="C129" s="3" t="s">
        <v>43</v>
      </c>
      <c r="D129" s="3" t="s">
        <v>37</v>
      </c>
      <c r="E129" s="3" t="s">
        <v>31</v>
      </c>
      <c r="F129" s="3" t="s">
        <v>34</v>
      </c>
      <c r="G129" s="3" t="s">
        <v>17</v>
      </c>
      <c r="H129" s="3">
        <v>5621</v>
      </c>
      <c r="I129" s="3">
        <v>324</v>
      </c>
      <c r="J129" s="3">
        <v>10</v>
      </c>
      <c r="K129" s="12">
        <v>1253.3699999999999</v>
      </c>
      <c r="L129" s="10">
        <v>1846.48</v>
      </c>
      <c r="M129" s="16">
        <f t="shared" si="5"/>
        <v>5.764098914783846E-2</v>
      </c>
      <c r="N129" s="18">
        <f t="shared" si="6"/>
        <v>3.0864197530864196E-2</v>
      </c>
      <c r="O129" s="8">
        <f t="shared" si="7"/>
        <v>125.33699999999999</v>
      </c>
      <c r="P129" s="14">
        <f t="shared" si="8"/>
        <v>593.11000000000013</v>
      </c>
      <c r="Q129" s="16">
        <f t="shared" si="9"/>
        <v>0.47321221985527034</v>
      </c>
    </row>
    <row r="130" spans="1:17" x14ac:dyDescent="0.2">
      <c r="A130" s="2">
        <v>45668</v>
      </c>
      <c r="B130" s="3" t="s">
        <v>401</v>
      </c>
      <c r="C130" s="3" t="s">
        <v>39</v>
      </c>
      <c r="D130" s="3" t="s">
        <v>28</v>
      </c>
      <c r="E130" s="3" t="s">
        <v>20</v>
      </c>
      <c r="F130" s="3" t="s">
        <v>16</v>
      </c>
      <c r="G130" s="3" t="s">
        <v>17</v>
      </c>
      <c r="H130" s="3">
        <v>33669</v>
      </c>
      <c r="I130" s="3">
        <v>858</v>
      </c>
      <c r="J130" s="3">
        <v>7</v>
      </c>
      <c r="K130" s="12">
        <v>686.72</v>
      </c>
      <c r="L130" s="10">
        <v>463.4</v>
      </c>
      <c r="M130" s="16">
        <f t="shared" si="5"/>
        <v>2.5483382339837834E-2</v>
      </c>
      <c r="N130" s="18">
        <f t="shared" si="6"/>
        <v>8.1585081585081581E-3</v>
      </c>
      <c r="O130" s="8">
        <f t="shared" si="7"/>
        <v>98.102857142857147</v>
      </c>
      <c r="P130" s="14">
        <f t="shared" si="8"/>
        <v>-223.32000000000005</v>
      </c>
      <c r="Q130" s="16">
        <f t="shared" si="9"/>
        <v>-0.32519804287045673</v>
      </c>
    </row>
    <row r="131" spans="1:17" x14ac:dyDescent="0.2">
      <c r="A131" s="2">
        <v>45668</v>
      </c>
      <c r="B131" s="3" t="s">
        <v>613</v>
      </c>
      <c r="C131" s="3" t="s">
        <v>58</v>
      </c>
      <c r="D131" s="3" t="s">
        <v>37</v>
      </c>
      <c r="E131" s="3" t="s">
        <v>20</v>
      </c>
      <c r="F131" s="3" t="s">
        <v>34</v>
      </c>
      <c r="G131" s="3" t="s">
        <v>21</v>
      </c>
      <c r="H131" s="3">
        <v>2870</v>
      </c>
      <c r="I131" s="3">
        <v>90</v>
      </c>
      <c r="J131" s="3">
        <v>2</v>
      </c>
      <c r="K131" s="12">
        <v>521.67999999999995</v>
      </c>
      <c r="L131" s="10">
        <v>376.28</v>
      </c>
      <c r="M131" s="16">
        <f t="shared" ref="M131:M194" si="10">IFERROR(I131/H131,0)</f>
        <v>3.1358885017421602E-2</v>
      </c>
      <c r="N131" s="18">
        <f t="shared" ref="N131:N194" si="11">IFERROR(J131/I131,0)</f>
        <v>2.2222222222222223E-2</v>
      </c>
      <c r="O131" s="8">
        <f t="shared" ref="O131:O194" si="12">IFERROR(K131/J131,0)</f>
        <v>260.83999999999997</v>
      </c>
      <c r="P131" s="14">
        <f t="shared" ref="P131:P194" si="13">L131-K131</f>
        <v>-145.39999999999998</v>
      </c>
      <c r="Q131" s="16">
        <f t="shared" ref="Q131:Q194" si="14">IFERROR((L131-K131)/K131,0)</f>
        <v>-0.27871492102438272</v>
      </c>
    </row>
    <row r="132" spans="1:17" x14ac:dyDescent="0.2">
      <c r="A132" s="2">
        <v>45668</v>
      </c>
      <c r="B132" s="3" t="s">
        <v>614</v>
      </c>
      <c r="C132" s="3" t="s">
        <v>19</v>
      </c>
      <c r="D132" s="3" t="s">
        <v>14</v>
      </c>
      <c r="E132" s="3" t="s">
        <v>20</v>
      </c>
      <c r="F132" s="3" t="s">
        <v>29</v>
      </c>
      <c r="G132" s="3" t="s">
        <v>17</v>
      </c>
      <c r="H132" s="3">
        <v>7574</v>
      </c>
      <c r="I132" s="3">
        <v>496</v>
      </c>
      <c r="J132" s="3">
        <v>14</v>
      </c>
      <c r="K132" s="12">
        <v>1192.97</v>
      </c>
      <c r="L132" s="10">
        <v>1666.04</v>
      </c>
      <c r="M132" s="16">
        <f t="shared" si="10"/>
        <v>6.5487193028782684E-2</v>
      </c>
      <c r="N132" s="18">
        <f t="shared" si="11"/>
        <v>2.8225806451612902E-2</v>
      </c>
      <c r="O132" s="8">
        <f t="shared" si="12"/>
        <v>85.212142857142865</v>
      </c>
      <c r="P132" s="14">
        <f t="shared" si="13"/>
        <v>473.06999999999994</v>
      </c>
      <c r="Q132" s="16">
        <f t="shared" si="14"/>
        <v>0.39654811101704146</v>
      </c>
    </row>
    <row r="133" spans="1:17" x14ac:dyDescent="0.2">
      <c r="A133" s="2">
        <v>45668</v>
      </c>
      <c r="B133" s="3" t="s">
        <v>67</v>
      </c>
      <c r="C133" s="3" t="s">
        <v>23</v>
      </c>
      <c r="D133" s="3" t="s">
        <v>24</v>
      </c>
      <c r="E133" s="3" t="s">
        <v>20</v>
      </c>
      <c r="F133" s="3" t="s">
        <v>34</v>
      </c>
      <c r="G133" s="3" t="s">
        <v>17</v>
      </c>
      <c r="H133" s="3">
        <v>3075</v>
      </c>
      <c r="I133" s="3">
        <v>354</v>
      </c>
      <c r="J133" s="3">
        <v>44</v>
      </c>
      <c r="K133" s="12">
        <v>76.790000000000006</v>
      </c>
      <c r="L133" s="10">
        <v>5820.11</v>
      </c>
      <c r="M133" s="16">
        <f t="shared" si="10"/>
        <v>0.1151219512195122</v>
      </c>
      <c r="N133" s="18">
        <f t="shared" si="11"/>
        <v>0.12429378531073447</v>
      </c>
      <c r="O133" s="8">
        <f t="shared" si="12"/>
        <v>1.7452272727272728</v>
      </c>
      <c r="P133" s="14">
        <f t="shared" si="13"/>
        <v>5743.32</v>
      </c>
      <c r="Q133" s="16">
        <f t="shared" si="14"/>
        <v>74.792551113426214</v>
      </c>
    </row>
    <row r="134" spans="1:17" x14ac:dyDescent="0.2">
      <c r="A134" s="2">
        <v>45668</v>
      </c>
      <c r="B134" s="3" t="s">
        <v>615</v>
      </c>
      <c r="C134" s="3" t="s">
        <v>156</v>
      </c>
      <c r="D134" s="3" t="s">
        <v>46</v>
      </c>
      <c r="E134" s="3" t="s">
        <v>31</v>
      </c>
      <c r="F134" s="3" t="s">
        <v>29</v>
      </c>
      <c r="G134" s="3" t="s">
        <v>17</v>
      </c>
      <c r="H134" s="3">
        <v>16303</v>
      </c>
      <c r="I134" s="3">
        <v>429</v>
      </c>
      <c r="J134" s="3">
        <v>17</v>
      </c>
      <c r="K134" s="12">
        <v>604.71</v>
      </c>
      <c r="L134" s="10">
        <v>965.22</v>
      </c>
      <c r="M134" s="16">
        <f t="shared" si="10"/>
        <v>2.631417530515856E-2</v>
      </c>
      <c r="N134" s="18">
        <f t="shared" si="11"/>
        <v>3.9627039627039624E-2</v>
      </c>
      <c r="O134" s="8">
        <f t="shared" si="12"/>
        <v>35.571176470588235</v>
      </c>
      <c r="P134" s="14">
        <f t="shared" si="13"/>
        <v>360.51</v>
      </c>
      <c r="Q134" s="16">
        <f t="shared" si="14"/>
        <v>0.59617006498982983</v>
      </c>
    </row>
    <row r="135" spans="1:17" x14ac:dyDescent="0.2">
      <c r="A135" s="2">
        <v>45668</v>
      </c>
      <c r="B135" s="3" t="s">
        <v>235</v>
      </c>
      <c r="C135" s="3" t="s">
        <v>41</v>
      </c>
      <c r="D135" s="3" t="s">
        <v>24</v>
      </c>
      <c r="E135" s="3" t="s">
        <v>20</v>
      </c>
      <c r="F135" s="3" t="s">
        <v>50</v>
      </c>
      <c r="G135" s="3" t="s">
        <v>17</v>
      </c>
      <c r="H135" s="3">
        <v>2507</v>
      </c>
      <c r="I135" s="3">
        <v>348</v>
      </c>
      <c r="J135" s="3">
        <v>37</v>
      </c>
      <c r="K135" s="12">
        <v>97.49</v>
      </c>
      <c r="L135" s="10">
        <v>3321.63</v>
      </c>
      <c r="M135" s="16">
        <f t="shared" si="10"/>
        <v>0.13881132828081372</v>
      </c>
      <c r="N135" s="18">
        <f t="shared" si="11"/>
        <v>0.10632183908045977</v>
      </c>
      <c r="O135" s="8">
        <f t="shared" si="12"/>
        <v>2.6348648648648649</v>
      </c>
      <c r="P135" s="14">
        <f t="shared" si="13"/>
        <v>3224.1400000000003</v>
      </c>
      <c r="Q135" s="16">
        <f t="shared" si="14"/>
        <v>33.071494512257672</v>
      </c>
    </row>
    <row r="136" spans="1:17" x14ac:dyDescent="0.2">
      <c r="A136" s="2">
        <v>45669</v>
      </c>
      <c r="B136" s="3" t="s">
        <v>616</v>
      </c>
      <c r="C136" s="3" t="s">
        <v>71</v>
      </c>
      <c r="D136" s="3" t="s">
        <v>37</v>
      </c>
      <c r="E136" s="3" t="s">
        <v>20</v>
      </c>
      <c r="F136" s="3" t="s">
        <v>47</v>
      </c>
      <c r="G136" s="3" t="s">
        <v>25</v>
      </c>
      <c r="H136" s="3">
        <v>3312</v>
      </c>
      <c r="I136" s="3">
        <v>115</v>
      </c>
      <c r="J136" s="3">
        <v>3</v>
      </c>
      <c r="K136" s="12">
        <v>571.61</v>
      </c>
      <c r="L136" s="10">
        <v>77.87</v>
      </c>
      <c r="M136" s="16">
        <f t="shared" si="10"/>
        <v>3.4722222222222224E-2</v>
      </c>
      <c r="N136" s="18">
        <f t="shared" si="11"/>
        <v>2.6086956521739129E-2</v>
      </c>
      <c r="O136" s="8">
        <f t="shared" si="12"/>
        <v>190.53666666666666</v>
      </c>
      <c r="P136" s="14">
        <f t="shared" si="13"/>
        <v>-493.74</v>
      </c>
      <c r="Q136" s="16">
        <f t="shared" si="14"/>
        <v>-0.86377075278599047</v>
      </c>
    </row>
    <row r="137" spans="1:17" x14ac:dyDescent="0.2">
      <c r="A137" s="2">
        <v>45669</v>
      </c>
      <c r="B137" s="3" t="s">
        <v>617</v>
      </c>
      <c r="C137" s="3" t="s">
        <v>33</v>
      </c>
      <c r="D137" s="3" t="s">
        <v>28</v>
      </c>
      <c r="E137" s="3" t="s">
        <v>15</v>
      </c>
      <c r="F137" s="3" t="s">
        <v>34</v>
      </c>
      <c r="G137" s="3" t="s">
        <v>21</v>
      </c>
      <c r="H137" s="3">
        <v>30388</v>
      </c>
      <c r="I137" s="3">
        <v>344</v>
      </c>
      <c r="J137" s="3">
        <v>2</v>
      </c>
      <c r="K137" s="12">
        <v>310.94</v>
      </c>
      <c r="L137" s="10">
        <v>159.13999999999999</v>
      </c>
      <c r="M137" s="16">
        <f t="shared" si="10"/>
        <v>1.1320257996577597E-2</v>
      </c>
      <c r="N137" s="18">
        <f t="shared" si="11"/>
        <v>5.8139534883720929E-3</v>
      </c>
      <c r="O137" s="8">
        <f t="shared" si="12"/>
        <v>155.47</v>
      </c>
      <c r="P137" s="14">
        <f t="shared" si="13"/>
        <v>-151.80000000000001</v>
      </c>
      <c r="Q137" s="16">
        <f t="shared" si="14"/>
        <v>-0.48819707982247385</v>
      </c>
    </row>
    <row r="138" spans="1:17" x14ac:dyDescent="0.2">
      <c r="A138" s="2">
        <v>45669</v>
      </c>
      <c r="B138" s="3" t="s">
        <v>618</v>
      </c>
      <c r="C138" s="3" t="s">
        <v>156</v>
      </c>
      <c r="D138" s="3" t="s">
        <v>46</v>
      </c>
      <c r="E138" s="3" t="s">
        <v>15</v>
      </c>
      <c r="F138" s="3" t="s">
        <v>50</v>
      </c>
      <c r="G138" s="3" t="s">
        <v>17</v>
      </c>
      <c r="H138" s="3">
        <v>15197</v>
      </c>
      <c r="I138" s="3">
        <v>613</v>
      </c>
      <c r="J138" s="3">
        <v>7</v>
      </c>
      <c r="K138" s="12">
        <v>1223.8800000000001</v>
      </c>
      <c r="L138" s="10">
        <v>377.65</v>
      </c>
      <c r="M138" s="16">
        <f t="shared" si="10"/>
        <v>4.0336908600381652E-2</v>
      </c>
      <c r="N138" s="18">
        <f t="shared" si="11"/>
        <v>1.1419249592169658E-2</v>
      </c>
      <c r="O138" s="8">
        <f t="shared" si="12"/>
        <v>174.84</v>
      </c>
      <c r="P138" s="14">
        <f t="shared" si="13"/>
        <v>-846.23000000000013</v>
      </c>
      <c r="Q138" s="16">
        <f t="shared" si="14"/>
        <v>-0.69143216655227646</v>
      </c>
    </row>
    <row r="139" spans="1:17" x14ac:dyDescent="0.2">
      <c r="A139" s="2">
        <v>45669</v>
      </c>
      <c r="B139" s="3" t="s">
        <v>289</v>
      </c>
      <c r="C139" s="3" t="s">
        <v>36</v>
      </c>
      <c r="D139" s="3" t="s">
        <v>37</v>
      </c>
      <c r="E139" s="3" t="s">
        <v>20</v>
      </c>
      <c r="F139" s="3" t="s">
        <v>29</v>
      </c>
      <c r="G139" s="3" t="s">
        <v>17</v>
      </c>
      <c r="H139" s="3">
        <v>4248</v>
      </c>
      <c r="I139" s="3">
        <v>200</v>
      </c>
      <c r="J139" s="3">
        <v>4</v>
      </c>
      <c r="K139" s="12">
        <v>1058.06</v>
      </c>
      <c r="L139" s="10">
        <v>215.77</v>
      </c>
      <c r="M139" s="16">
        <f t="shared" si="10"/>
        <v>4.7080979284369114E-2</v>
      </c>
      <c r="N139" s="18">
        <f t="shared" si="11"/>
        <v>0.02</v>
      </c>
      <c r="O139" s="8">
        <f t="shared" si="12"/>
        <v>264.51499999999999</v>
      </c>
      <c r="P139" s="14">
        <f t="shared" si="13"/>
        <v>-842.29</v>
      </c>
      <c r="Q139" s="16">
        <f t="shared" si="14"/>
        <v>-0.79607016615314818</v>
      </c>
    </row>
    <row r="140" spans="1:17" x14ac:dyDescent="0.2">
      <c r="A140" s="2">
        <v>45669</v>
      </c>
      <c r="B140" s="3" t="s">
        <v>320</v>
      </c>
      <c r="C140" s="3" t="s">
        <v>71</v>
      </c>
      <c r="D140" s="3" t="s">
        <v>37</v>
      </c>
      <c r="E140" s="3" t="s">
        <v>31</v>
      </c>
      <c r="F140" s="3" t="s">
        <v>47</v>
      </c>
      <c r="G140" s="3" t="s">
        <v>21</v>
      </c>
      <c r="H140" s="3">
        <v>5666</v>
      </c>
      <c r="I140" s="3">
        <v>196</v>
      </c>
      <c r="J140" s="3">
        <v>4</v>
      </c>
      <c r="K140" s="12">
        <v>1583.89</v>
      </c>
      <c r="L140" s="10">
        <v>764.76</v>
      </c>
      <c r="M140" s="16">
        <f t="shared" si="10"/>
        <v>3.4592304977056121E-2</v>
      </c>
      <c r="N140" s="18">
        <f t="shared" si="11"/>
        <v>2.0408163265306121E-2</v>
      </c>
      <c r="O140" s="8">
        <f t="shared" si="12"/>
        <v>395.97250000000003</v>
      </c>
      <c r="P140" s="14">
        <f t="shared" si="13"/>
        <v>-819.13000000000011</v>
      </c>
      <c r="Q140" s="16">
        <f t="shared" si="14"/>
        <v>-0.51716343938025999</v>
      </c>
    </row>
    <row r="141" spans="1:17" x14ac:dyDescent="0.2">
      <c r="A141" s="2">
        <v>45669</v>
      </c>
      <c r="B141" s="3" t="s">
        <v>619</v>
      </c>
      <c r="C141" s="3" t="s">
        <v>39</v>
      </c>
      <c r="D141" s="3" t="s">
        <v>28</v>
      </c>
      <c r="E141" s="3" t="s">
        <v>20</v>
      </c>
      <c r="F141" s="3" t="s">
        <v>50</v>
      </c>
      <c r="G141" s="3" t="s">
        <v>17</v>
      </c>
      <c r="H141" s="3">
        <v>15023</v>
      </c>
      <c r="I141" s="3">
        <v>286</v>
      </c>
      <c r="J141" s="3">
        <v>2</v>
      </c>
      <c r="K141" s="12">
        <v>437.42</v>
      </c>
      <c r="L141" s="10">
        <v>97.21</v>
      </c>
      <c r="M141" s="16">
        <f t="shared" si="10"/>
        <v>1.9037475870332159E-2</v>
      </c>
      <c r="N141" s="18">
        <f t="shared" si="11"/>
        <v>6.993006993006993E-3</v>
      </c>
      <c r="O141" s="8">
        <f t="shared" si="12"/>
        <v>218.71</v>
      </c>
      <c r="P141" s="14">
        <f t="shared" si="13"/>
        <v>-340.21000000000004</v>
      </c>
      <c r="Q141" s="16">
        <f t="shared" si="14"/>
        <v>-0.77776507704265929</v>
      </c>
    </row>
    <row r="142" spans="1:17" x14ac:dyDescent="0.2">
      <c r="A142" s="2">
        <v>45669</v>
      </c>
      <c r="B142" s="3" t="s">
        <v>322</v>
      </c>
      <c r="C142" s="3" t="s">
        <v>71</v>
      </c>
      <c r="D142" s="3" t="s">
        <v>37</v>
      </c>
      <c r="E142" s="3" t="s">
        <v>31</v>
      </c>
      <c r="F142" s="3" t="s">
        <v>50</v>
      </c>
      <c r="G142" s="3" t="s">
        <v>21</v>
      </c>
      <c r="H142" s="3">
        <v>3289</v>
      </c>
      <c r="I142" s="3">
        <v>119</v>
      </c>
      <c r="J142" s="3">
        <v>2</v>
      </c>
      <c r="K142" s="12">
        <v>844.73</v>
      </c>
      <c r="L142" s="10">
        <v>295.41000000000003</v>
      </c>
      <c r="M142" s="16">
        <f t="shared" si="10"/>
        <v>3.6181210094253576E-2</v>
      </c>
      <c r="N142" s="18">
        <f t="shared" si="11"/>
        <v>1.680672268907563E-2</v>
      </c>
      <c r="O142" s="8">
        <f t="shared" si="12"/>
        <v>422.36500000000001</v>
      </c>
      <c r="P142" s="14">
        <f t="shared" si="13"/>
        <v>-549.31999999999994</v>
      </c>
      <c r="Q142" s="16">
        <f t="shared" si="14"/>
        <v>-0.65029062540693472</v>
      </c>
    </row>
    <row r="143" spans="1:17" x14ac:dyDescent="0.2">
      <c r="A143" s="2">
        <v>45669</v>
      </c>
      <c r="B143" s="3" t="s">
        <v>620</v>
      </c>
      <c r="C143" s="3" t="s">
        <v>39</v>
      </c>
      <c r="D143" s="3" t="s">
        <v>28</v>
      </c>
      <c r="E143" s="3" t="s">
        <v>20</v>
      </c>
      <c r="F143" s="3" t="s">
        <v>47</v>
      </c>
      <c r="G143" s="3" t="s">
        <v>17</v>
      </c>
      <c r="H143" s="3">
        <v>19136</v>
      </c>
      <c r="I143" s="3">
        <v>403</v>
      </c>
      <c r="J143" s="3">
        <v>3</v>
      </c>
      <c r="K143" s="12">
        <v>608.65</v>
      </c>
      <c r="L143" s="10">
        <v>170.09</v>
      </c>
      <c r="M143" s="16">
        <f t="shared" si="10"/>
        <v>2.1059782608695652E-2</v>
      </c>
      <c r="N143" s="18">
        <f t="shared" si="11"/>
        <v>7.4441687344913151E-3</v>
      </c>
      <c r="O143" s="8">
        <f t="shared" si="12"/>
        <v>202.88333333333333</v>
      </c>
      <c r="P143" s="14">
        <f t="shared" si="13"/>
        <v>-438.55999999999995</v>
      </c>
      <c r="Q143" s="16">
        <f t="shared" si="14"/>
        <v>-0.72054546948163967</v>
      </c>
    </row>
    <row r="144" spans="1:17" x14ac:dyDescent="0.2">
      <c r="A144" s="2">
        <v>45669</v>
      </c>
      <c r="B144" s="3" t="s">
        <v>242</v>
      </c>
      <c r="C144" s="3" t="s">
        <v>58</v>
      </c>
      <c r="D144" s="3" t="s">
        <v>37</v>
      </c>
      <c r="E144" s="3" t="s">
        <v>20</v>
      </c>
      <c r="F144" s="3" t="s">
        <v>34</v>
      </c>
      <c r="G144" s="3" t="s">
        <v>21</v>
      </c>
      <c r="H144" s="3">
        <v>6880</v>
      </c>
      <c r="I144" s="3">
        <v>263</v>
      </c>
      <c r="J144" s="3">
        <v>3</v>
      </c>
      <c r="K144" s="12">
        <v>1544.75</v>
      </c>
      <c r="L144" s="10">
        <v>486.2</v>
      </c>
      <c r="M144" s="16">
        <f t="shared" si="10"/>
        <v>3.8226744186046512E-2</v>
      </c>
      <c r="N144" s="18">
        <f t="shared" si="11"/>
        <v>1.1406844106463879E-2</v>
      </c>
      <c r="O144" s="8">
        <f t="shared" si="12"/>
        <v>514.91666666666663</v>
      </c>
      <c r="P144" s="14">
        <f t="shared" si="13"/>
        <v>-1058.55</v>
      </c>
      <c r="Q144" s="16">
        <f t="shared" si="14"/>
        <v>-0.68525651399902898</v>
      </c>
    </row>
    <row r="145" spans="1:17" x14ac:dyDescent="0.2">
      <c r="A145" s="2">
        <v>45669</v>
      </c>
      <c r="B145" s="3" t="s">
        <v>461</v>
      </c>
      <c r="C145" s="3" t="s">
        <v>23</v>
      </c>
      <c r="D145" s="3" t="s">
        <v>24</v>
      </c>
      <c r="E145" s="3" t="s">
        <v>31</v>
      </c>
      <c r="F145" s="3" t="s">
        <v>34</v>
      </c>
      <c r="G145" s="3" t="s">
        <v>21</v>
      </c>
      <c r="H145" s="3">
        <v>1840</v>
      </c>
      <c r="I145" s="3">
        <v>292</v>
      </c>
      <c r="J145" s="3">
        <v>79</v>
      </c>
      <c r="K145" s="12">
        <v>75.86</v>
      </c>
      <c r="L145" s="10">
        <v>11514.05</v>
      </c>
      <c r="M145" s="16">
        <f t="shared" si="10"/>
        <v>0.15869565217391304</v>
      </c>
      <c r="N145" s="18">
        <f t="shared" si="11"/>
        <v>0.27054794520547948</v>
      </c>
      <c r="O145" s="8">
        <f t="shared" si="12"/>
        <v>0.96025316455696197</v>
      </c>
      <c r="P145" s="14">
        <f t="shared" si="13"/>
        <v>11438.189999999999</v>
      </c>
      <c r="Q145" s="16">
        <f t="shared" si="14"/>
        <v>150.78025309781174</v>
      </c>
    </row>
    <row r="146" spans="1:17" x14ac:dyDescent="0.2">
      <c r="A146" s="2">
        <v>45669</v>
      </c>
      <c r="B146" s="3" t="s">
        <v>621</v>
      </c>
      <c r="C146" s="3" t="s">
        <v>58</v>
      </c>
      <c r="D146" s="3" t="s">
        <v>37</v>
      </c>
      <c r="E146" s="3" t="s">
        <v>20</v>
      </c>
      <c r="F146" s="3" t="s">
        <v>16</v>
      </c>
      <c r="G146" s="3" t="s">
        <v>21</v>
      </c>
      <c r="H146" s="3">
        <v>2650</v>
      </c>
      <c r="I146" s="3">
        <v>71</v>
      </c>
      <c r="J146" s="3">
        <v>1</v>
      </c>
      <c r="K146" s="12">
        <v>432.99</v>
      </c>
      <c r="L146" s="10">
        <v>192.39</v>
      </c>
      <c r="M146" s="16">
        <f t="shared" si="10"/>
        <v>2.679245283018868E-2</v>
      </c>
      <c r="N146" s="18">
        <f t="shared" si="11"/>
        <v>1.4084507042253521E-2</v>
      </c>
      <c r="O146" s="8">
        <f t="shared" si="12"/>
        <v>432.99</v>
      </c>
      <c r="P146" s="14">
        <f t="shared" si="13"/>
        <v>-240.60000000000002</v>
      </c>
      <c r="Q146" s="16">
        <f t="shared" si="14"/>
        <v>-0.55567103166354881</v>
      </c>
    </row>
    <row r="147" spans="1:17" x14ac:dyDescent="0.2">
      <c r="A147" s="2">
        <v>45669</v>
      </c>
      <c r="B147" s="3" t="s">
        <v>369</v>
      </c>
      <c r="C147" s="3" t="s">
        <v>36</v>
      </c>
      <c r="D147" s="3" t="s">
        <v>37</v>
      </c>
      <c r="E147" s="3" t="s">
        <v>20</v>
      </c>
      <c r="F147" s="3" t="s">
        <v>47</v>
      </c>
      <c r="G147" s="3" t="s">
        <v>25</v>
      </c>
      <c r="H147" s="3">
        <v>2990</v>
      </c>
      <c r="I147" s="3">
        <v>93</v>
      </c>
      <c r="J147" s="3">
        <v>2</v>
      </c>
      <c r="K147" s="12">
        <v>706.74</v>
      </c>
      <c r="L147" s="10">
        <v>227.72</v>
      </c>
      <c r="M147" s="16">
        <f t="shared" si="10"/>
        <v>3.1103678929765885E-2</v>
      </c>
      <c r="N147" s="18">
        <f t="shared" si="11"/>
        <v>2.1505376344086023E-2</v>
      </c>
      <c r="O147" s="8">
        <f t="shared" si="12"/>
        <v>353.37</v>
      </c>
      <c r="P147" s="14">
        <f t="shared" si="13"/>
        <v>-479.02</v>
      </c>
      <c r="Q147" s="16">
        <f t="shared" si="14"/>
        <v>-0.67778815405948434</v>
      </c>
    </row>
    <row r="148" spans="1:17" x14ac:dyDescent="0.2">
      <c r="A148" s="2">
        <v>45669</v>
      </c>
      <c r="B148" s="3" t="s">
        <v>512</v>
      </c>
      <c r="C148" s="3" t="s">
        <v>13</v>
      </c>
      <c r="D148" s="3" t="s">
        <v>14</v>
      </c>
      <c r="E148" s="3" t="s">
        <v>31</v>
      </c>
      <c r="F148" s="3" t="s">
        <v>47</v>
      </c>
      <c r="G148" s="3" t="s">
        <v>21</v>
      </c>
      <c r="H148" s="3">
        <v>8147</v>
      </c>
      <c r="I148" s="3">
        <v>315</v>
      </c>
      <c r="J148" s="3">
        <v>23</v>
      </c>
      <c r="K148" s="12">
        <v>708.13</v>
      </c>
      <c r="L148" s="10">
        <v>2879.66</v>
      </c>
      <c r="M148" s="16">
        <f t="shared" si="10"/>
        <v>3.8664539094145085E-2</v>
      </c>
      <c r="N148" s="18">
        <f t="shared" si="11"/>
        <v>7.301587301587302E-2</v>
      </c>
      <c r="O148" s="8">
        <f t="shared" si="12"/>
        <v>30.788260869565217</v>
      </c>
      <c r="P148" s="14">
        <f t="shared" si="13"/>
        <v>2171.5299999999997</v>
      </c>
      <c r="Q148" s="16">
        <f t="shared" si="14"/>
        <v>3.0665696976543853</v>
      </c>
    </row>
    <row r="149" spans="1:17" x14ac:dyDescent="0.2">
      <c r="A149" s="2">
        <v>45670</v>
      </c>
      <c r="B149" s="3" t="s">
        <v>622</v>
      </c>
      <c r="C149" s="3" t="s">
        <v>97</v>
      </c>
      <c r="D149" s="3" t="s">
        <v>46</v>
      </c>
      <c r="E149" s="3" t="s">
        <v>31</v>
      </c>
      <c r="F149" s="3" t="s">
        <v>34</v>
      </c>
      <c r="G149" s="3" t="s">
        <v>17</v>
      </c>
      <c r="H149" s="3">
        <v>13457</v>
      </c>
      <c r="I149" s="3">
        <v>378</v>
      </c>
      <c r="J149" s="3">
        <v>10</v>
      </c>
      <c r="K149" s="12">
        <v>596.86</v>
      </c>
      <c r="L149" s="10">
        <v>986.48</v>
      </c>
      <c r="M149" s="16">
        <f t="shared" si="10"/>
        <v>2.8089470164226797E-2</v>
      </c>
      <c r="N149" s="18">
        <f t="shared" si="11"/>
        <v>2.6455026455026454E-2</v>
      </c>
      <c r="O149" s="8">
        <f t="shared" si="12"/>
        <v>59.686</v>
      </c>
      <c r="P149" s="14">
        <f t="shared" si="13"/>
        <v>389.62</v>
      </c>
      <c r="Q149" s="16">
        <f t="shared" si="14"/>
        <v>0.65278289716181348</v>
      </c>
    </row>
    <row r="150" spans="1:17" x14ac:dyDescent="0.2">
      <c r="A150" s="2">
        <v>45670</v>
      </c>
      <c r="B150" s="3" t="s">
        <v>273</v>
      </c>
      <c r="C150" s="3" t="s">
        <v>39</v>
      </c>
      <c r="D150" s="3" t="s">
        <v>28</v>
      </c>
      <c r="E150" s="3" t="s">
        <v>20</v>
      </c>
      <c r="F150" s="3" t="s">
        <v>34</v>
      </c>
      <c r="G150" s="3" t="s">
        <v>21</v>
      </c>
      <c r="H150" s="3">
        <v>39575</v>
      </c>
      <c r="I150" s="3">
        <v>724</v>
      </c>
      <c r="J150" s="3">
        <v>16</v>
      </c>
      <c r="K150" s="12">
        <v>901.62</v>
      </c>
      <c r="L150" s="10">
        <v>1179.07</v>
      </c>
      <c r="M150" s="16">
        <f t="shared" si="10"/>
        <v>1.8294377763739735E-2</v>
      </c>
      <c r="N150" s="18">
        <f t="shared" si="11"/>
        <v>2.2099447513812154E-2</v>
      </c>
      <c r="O150" s="8">
        <f t="shared" si="12"/>
        <v>56.35125</v>
      </c>
      <c r="P150" s="14">
        <f t="shared" si="13"/>
        <v>277.44999999999993</v>
      </c>
      <c r="Q150" s="16">
        <f t="shared" si="14"/>
        <v>0.30772387480313207</v>
      </c>
    </row>
    <row r="151" spans="1:17" x14ac:dyDescent="0.2">
      <c r="A151" s="2">
        <v>45670</v>
      </c>
      <c r="B151" s="3" t="s">
        <v>408</v>
      </c>
      <c r="C151" s="3" t="s">
        <v>54</v>
      </c>
      <c r="D151" s="3" t="s">
        <v>14</v>
      </c>
      <c r="E151" s="3" t="s">
        <v>31</v>
      </c>
      <c r="F151" s="3" t="s">
        <v>50</v>
      </c>
      <c r="G151" s="3" t="s">
        <v>17</v>
      </c>
      <c r="H151" s="3">
        <v>9943</v>
      </c>
      <c r="I151" s="3">
        <v>483</v>
      </c>
      <c r="J151" s="3">
        <v>31</v>
      </c>
      <c r="K151" s="12">
        <v>1441.85</v>
      </c>
      <c r="L151" s="10">
        <v>3827.09</v>
      </c>
      <c r="M151" s="16">
        <f t="shared" si="10"/>
        <v>4.8576888263099666E-2</v>
      </c>
      <c r="N151" s="18">
        <f t="shared" si="11"/>
        <v>6.4182194616977231E-2</v>
      </c>
      <c r="O151" s="8">
        <f t="shared" si="12"/>
        <v>46.511290322580642</v>
      </c>
      <c r="P151" s="14">
        <f t="shared" si="13"/>
        <v>2385.2400000000002</v>
      </c>
      <c r="Q151" s="16">
        <f t="shared" si="14"/>
        <v>1.6542913617921422</v>
      </c>
    </row>
    <row r="152" spans="1:17" x14ac:dyDescent="0.2">
      <c r="A152" s="2">
        <v>45670</v>
      </c>
      <c r="B152" s="3" t="s">
        <v>623</v>
      </c>
      <c r="C152" s="3" t="s">
        <v>58</v>
      </c>
      <c r="D152" s="3" t="s">
        <v>37</v>
      </c>
      <c r="E152" s="3" t="s">
        <v>20</v>
      </c>
      <c r="F152" s="3" t="s">
        <v>34</v>
      </c>
      <c r="G152" s="3" t="s">
        <v>17</v>
      </c>
      <c r="H152" s="3">
        <v>5551</v>
      </c>
      <c r="I152" s="3">
        <v>231</v>
      </c>
      <c r="J152" s="3">
        <v>2</v>
      </c>
      <c r="K152" s="12">
        <v>1068.03</v>
      </c>
      <c r="L152" s="10">
        <v>224.12</v>
      </c>
      <c r="M152" s="16">
        <f t="shared" si="10"/>
        <v>4.1614123581336697E-2</v>
      </c>
      <c r="N152" s="18">
        <f t="shared" si="11"/>
        <v>8.658008658008658E-3</v>
      </c>
      <c r="O152" s="8">
        <f t="shared" si="12"/>
        <v>534.01499999999999</v>
      </c>
      <c r="P152" s="14">
        <f t="shared" si="13"/>
        <v>-843.91</v>
      </c>
      <c r="Q152" s="16">
        <f t="shared" si="14"/>
        <v>-0.79015570723668804</v>
      </c>
    </row>
    <row r="153" spans="1:17" x14ac:dyDescent="0.2">
      <c r="A153" s="2">
        <v>45670</v>
      </c>
      <c r="B153" s="3" t="s">
        <v>316</v>
      </c>
      <c r="C153" s="3" t="s">
        <v>49</v>
      </c>
      <c r="D153" s="3" t="s">
        <v>46</v>
      </c>
      <c r="E153" s="3" t="s">
        <v>31</v>
      </c>
      <c r="F153" s="3" t="s">
        <v>16</v>
      </c>
      <c r="G153" s="3" t="s">
        <v>21</v>
      </c>
      <c r="H153" s="3">
        <v>17893</v>
      </c>
      <c r="I153" s="3">
        <v>778</v>
      </c>
      <c r="J153" s="3">
        <v>44</v>
      </c>
      <c r="K153" s="13">
        <v>1377.81</v>
      </c>
      <c r="L153" s="10">
        <v>4734.3999999999996</v>
      </c>
      <c r="M153" s="16">
        <f t="shared" si="10"/>
        <v>4.348069077292796E-2</v>
      </c>
      <c r="N153" s="18">
        <f t="shared" si="11"/>
        <v>5.6555269922879174E-2</v>
      </c>
      <c r="O153" s="8">
        <f t="shared" si="12"/>
        <v>31.313863636363635</v>
      </c>
      <c r="P153" s="14">
        <f t="shared" si="13"/>
        <v>3356.5899999999997</v>
      </c>
      <c r="Q153" s="16">
        <f t="shared" si="14"/>
        <v>2.4361777022956721</v>
      </c>
    </row>
    <row r="154" spans="1:17" x14ac:dyDescent="0.2">
      <c r="A154" s="2">
        <v>45670</v>
      </c>
      <c r="B154" s="3" t="s">
        <v>444</v>
      </c>
      <c r="C154" s="3" t="s">
        <v>52</v>
      </c>
      <c r="D154" s="3" t="s">
        <v>24</v>
      </c>
      <c r="E154" s="3" t="s">
        <v>20</v>
      </c>
      <c r="F154" s="3" t="s">
        <v>34</v>
      </c>
      <c r="G154" s="3" t="s">
        <v>17</v>
      </c>
      <c r="H154" s="3">
        <v>2605</v>
      </c>
      <c r="I154" s="3">
        <v>342</v>
      </c>
      <c r="J154" s="3">
        <v>27</v>
      </c>
      <c r="K154" s="13">
        <v>118.56</v>
      </c>
      <c r="L154" s="10">
        <v>2781.95</v>
      </c>
      <c r="M154" s="16">
        <f t="shared" si="10"/>
        <v>0.13128598848368522</v>
      </c>
      <c r="N154" s="18">
        <f t="shared" si="11"/>
        <v>7.8947368421052627E-2</v>
      </c>
      <c r="O154" s="8">
        <f t="shared" si="12"/>
        <v>4.391111111111111</v>
      </c>
      <c r="P154" s="14">
        <f t="shared" si="13"/>
        <v>2663.39</v>
      </c>
      <c r="Q154" s="16">
        <f t="shared" si="14"/>
        <v>22.464490553306341</v>
      </c>
    </row>
    <row r="155" spans="1:17" x14ac:dyDescent="0.2">
      <c r="A155" s="2">
        <v>45670</v>
      </c>
      <c r="B155" s="3" t="s">
        <v>624</v>
      </c>
      <c r="C155" s="3" t="s">
        <v>120</v>
      </c>
      <c r="D155" s="3" t="s">
        <v>14</v>
      </c>
      <c r="E155" s="3" t="s">
        <v>20</v>
      </c>
      <c r="F155" s="3" t="s">
        <v>47</v>
      </c>
      <c r="G155" s="3" t="s">
        <v>17</v>
      </c>
      <c r="H155" s="3">
        <v>12469</v>
      </c>
      <c r="I155" s="3">
        <v>512</v>
      </c>
      <c r="J155" s="3">
        <v>15</v>
      </c>
      <c r="K155" s="13">
        <v>1451.49</v>
      </c>
      <c r="L155" s="10">
        <v>1689.71</v>
      </c>
      <c r="M155" s="16">
        <f t="shared" si="10"/>
        <v>4.1061833346699814E-2</v>
      </c>
      <c r="N155" s="18">
        <f t="shared" si="11"/>
        <v>2.9296875E-2</v>
      </c>
      <c r="O155" s="8">
        <f t="shared" si="12"/>
        <v>96.766000000000005</v>
      </c>
      <c r="P155" s="14">
        <f t="shared" si="13"/>
        <v>238.22000000000003</v>
      </c>
      <c r="Q155" s="16">
        <f t="shared" si="14"/>
        <v>0.16412100668967752</v>
      </c>
    </row>
    <row r="156" spans="1:17" x14ac:dyDescent="0.2">
      <c r="A156" s="2">
        <v>45671</v>
      </c>
      <c r="B156" s="3" t="s">
        <v>153</v>
      </c>
      <c r="C156" s="3" t="s">
        <v>110</v>
      </c>
      <c r="D156" s="3" t="s">
        <v>24</v>
      </c>
      <c r="E156" s="3" t="s">
        <v>20</v>
      </c>
      <c r="F156" s="3" t="s">
        <v>16</v>
      </c>
      <c r="G156" s="3" t="s">
        <v>21</v>
      </c>
      <c r="H156" s="3">
        <v>1442</v>
      </c>
      <c r="I156" s="3">
        <v>173</v>
      </c>
      <c r="J156" s="3">
        <v>25</v>
      </c>
      <c r="K156" s="13">
        <v>72.39</v>
      </c>
      <c r="L156" s="10">
        <v>2108.71</v>
      </c>
      <c r="M156" s="16">
        <f t="shared" si="10"/>
        <v>0.11997226074895978</v>
      </c>
      <c r="N156" s="18">
        <f t="shared" si="11"/>
        <v>0.14450867052023122</v>
      </c>
      <c r="O156" s="8">
        <f t="shared" si="12"/>
        <v>2.8956</v>
      </c>
      <c r="P156" s="14">
        <f t="shared" si="13"/>
        <v>2036.32</v>
      </c>
      <c r="Q156" s="16">
        <f t="shared" si="14"/>
        <v>28.12985218952894</v>
      </c>
    </row>
    <row r="157" spans="1:17" x14ac:dyDescent="0.2">
      <c r="A157" s="2">
        <v>45671</v>
      </c>
      <c r="B157" s="3" t="s">
        <v>159</v>
      </c>
      <c r="C157" s="3" t="s">
        <v>43</v>
      </c>
      <c r="D157" s="3" t="s">
        <v>37</v>
      </c>
      <c r="E157" s="3" t="s">
        <v>31</v>
      </c>
      <c r="F157" s="3" t="s">
        <v>16</v>
      </c>
      <c r="G157" s="3" t="s">
        <v>17</v>
      </c>
      <c r="H157" s="3">
        <v>4969</v>
      </c>
      <c r="I157" s="3">
        <v>149</v>
      </c>
      <c r="J157" s="3">
        <v>4</v>
      </c>
      <c r="K157" s="13">
        <v>826.48</v>
      </c>
      <c r="L157" s="10">
        <v>836.55</v>
      </c>
      <c r="M157" s="16">
        <f t="shared" si="10"/>
        <v>2.9985912658482591E-2</v>
      </c>
      <c r="N157" s="18">
        <f t="shared" si="11"/>
        <v>2.6845637583892617E-2</v>
      </c>
      <c r="O157" s="8">
        <f t="shared" si="12"/>
        <v>206.62</v>
      </c>
      <c r="P157" s="14">
        <f t="shared" si="13"/>
        <v>10.069999999999936</v>
      </c>
      <c r="Q157" s="16">
        <f t="shared" si="14"/>
        <v>1.2184202884522235E-2</v>
      </c>
    </row>
    <row r="158" spans="1:17" x14ac:dyDescent="0.2">
      <c r="A158" s="2">
        <v>45671</v>
      </c>
      <c r="B158" s="3" t="s">
        <v>522</v>
      </c>
      <c r="C158" s="3" t="s">
        <v>41</v>
      </c>
      <c r="D158" s="3" t="s">
        <v>24</v>
      </c>
      <c r="E158" s="3" t="s">
        <v>31</v>
      </c>
      <c r="F158" s="3" t="s">
        <v>34</v>
      </c>
      <c r="G158" s="3" t="s">
        <v>21</v>
      </c>
      <c r="H158" s="3">
        <v>3248</v>
      </c>
      <c r="I158" s="3">
        <v>351</v>
      </c>
      <c r="J158" s="3">
        <v>50</v>
      </c>
      <c r="K158" s="13">
        <v>93.1</v>
      </c>
      <c r="L158" s="10">
        <v>5134.8999999999996</v>
      </c>
      <c r="M158" s="16">
        <f t="shared" si="10"/>
        <v>0.10806650246305419</v>
      </c>
      <c r="N158" s="18">
        <f t="shared" si="11"/>
        <v>0.14245014245014245</v>
      </c>
      <c r="O158" s="8">
        <f t="shared" si="12"/>
        <v>1.8619999999999999</v>
      </c>
      <c r="P158" s="14">
        <f t="shared" si="13"/>
        <v>5041.7999999999993</v>
      </c>
      <c r="Q158" s="16">
        <f t="shared" si="14"/>
        <v>54.154672395273892</v>
      </c>
    </row>
    <row r="159" spans="1:17" x14ac:dyDescent="0.2">
      <c r="A159" s="2">
        <v>45671</v>
      </c>
      <c r="B159" s="3" t="s">
        <v>538</v>
      </c>
      <c r="C159" s="3" t="s">
        <v>49</v>
      </c>
      <c r="D159" s="3" t="s">
        <v>46</v>
      </c>
      <c r="E159" s="3" t="s">
        <v>31</v>
      </c>
      <c r="F159" s="3" t="s">
        <v>50</v>
      </c>
      <c r="G159" s="3" t="s">
        <v>17</v>
      </c>
      <c r="H159" s="3">
        <v>14231</v>
      </c>
      <c r="I159" s="3">
        <v>477</v>
      </c>
      <c r="J159" s="3">
        <v>17</v>
      </c>
      <c r="K159" s="13">
        <v>820.47</v>
      </c>
      <c r="L159" s="10">
        <v>1351.53</v>
      </c>
      <c r="M159" s="16">
        <f t="shared" si="10"/>
        <v>3.3518375377696578E-2</v>
      </c>
      <c r="N159" s="18">
        <f t="shared" si="11"/>
        <v>3.5639412997903561E-2</v>
      </c>
      <c r="O159" s="8">
        <f t="shared" si="12"/>
        <v>48.262941176470591</v>
      </c>
      <c r="P159" s="14">
        <f t="shared" si="13"/>
        <v>531.05999999999995</v>
      </c>
      <c r="Q159" s="16">
        <f t="shared" si="14"/>
        <v>0.64726315404585166</v>
      </c>
    </row>
    <row r="160" spans="1:17" x14ac:dyDescent="0.2">
      <c r="A160" s="2">
        <v>45671</v>
      </c>
      <c r="B160" s="3" t="s">
        <v>182</v>
      </c>
      <c r="C160" s="3" t="s">
        <v>97</v>
      </c>
      <c r="D160" s="3" t="s">
        <v>46</v>
      </c>
      <c r="E160" s="3" t="s">
        <v>20</v>
      </c>
      <c r="F160" s="3" t="s">
        <v>16</v>
      </c>
      <c r="G160" s="3" t="s">
        <v>21</v>
      </c>
      <c r="H160" s="3">
        <v>9963</v>
      </c>
      <c r="I160" s="3">
        <v>260</v>
      </c>
      <c r="J160" s="3">
        <v>7</v>
      </c>
      <c r="K160" s="13">
        <v>267.64999999999998</v>
      </c>
      <c r="L160" s="10">
        <v>704.44</v>
      </c>
      <c r="M160" s="16">
        <f t="shared" si="10"/>
        <v>2.6096557261868915E-2</v>
      </c>
      <c r="N160" s="18">
        <f t="shared" si="11"/>
        <v>2.6923076923076925E-2</v>
      </c>
      <c r="O160" s="8">
        <f t="shared" si="12"/>
        <v>38.23571428571428</v>
      </c>
      <c r="P160" s="14">
        <f t="shared" si="13"/>
        <v>436.79000000000008</v>
      </c>
      <c r="Q160" s="16">
        <f t="shared" si="14"/>
        <v>1.6319447039043531</v>
      </c>
    </row>
    <row r="161" spans="1:17" x14ac:dyDescent="0.2">
      <c r="A161" s="2">
        <v>45671</v>
      </c>
      <c r="B161" s="3" t="s">
        <v>149</v>
      </c>
      <c r="C161" s="3" t="s">
        <v>120</v>
      </c>
      <c r="D161" s="3" t="s">
        <v>14</v>
      </c>
      <c r="E161" s="3" t="s">
        <v>31</v>
      </c>
      <c r="F161" s="3" t="s">
        <v>47</v>
      </c>
      <c r="G161" s="3" t="s">
        <v>17</v>
      </c>
      <c r="H161" s="3">
        <v>5016</v>
      </c>
      <c r="I161" s="3">
        <v>191</v>
      </c>
      <c r="J161" s="3">
        <v>6</v>
      </c>
      <c r="K161" s="13">
        <v>443.81</v>
      </c>
      <c r="L161" s="10">
        <v>503.91</v>
      </c>
      <c r="M161" s="16">
        <f t="shared" si="10"/>
        <v>3.8078149920255183E-2</v>
      </c>
      <c r="N161" s="18">
        <f t="shared" si="11"/>
        <v>3.1413612565445025E-2</v>
      </c>
      <c r="O161" s="8">
        <f t="shared" si="12"/>
        <v>73.968333333333334</v>
      </c>
      <c r="P161" s="14">
        <f t="shared" si="13"/>
        <v>60.100000000000023</v>
      </c>
      <c r="Q161" s="16">
        <f t="shared" si="14"/>
        <v>0.13541830963700688</v>
      </c>
    </row>
    <row r="162" spans="1:17" x14ac:dyDescent="0.2">
      <c r="A162" s="2">
        <v>45671</v>
      </c>
      <c r="B162" s="3" t="s">
        <v>625</v>
      </c>
      <c r="C162" s="3" t="s">
        <v>74</v>
      </c>
      <c r="D162" s="3" t="s">
        <v>28</v>
      </c>
      <c r="E162" s="3" t="s">
        <v>20</v>
      </c>
      <c r="F162" s="3" t="s">
        <v>47</v>
      </c>
      <c r="G162" s="3" t="s">
        <v>21</v>
      </c>
      <c r="H162" s="3">
        <v>30545</v>
      </c>
      <c r="I162" s="3">
        <v>661</v>
      </c>
      <c r="J162" s="3">
        <v>9</v>
      </c>
      <c r="K162" s="13">
        <v>819.3</v>
      </c>
      <c r="L162" s="10">
        <v>493.61</v>
      </c>
      <c r="M162" s="16">
        <f t="shared" si="10"/>
        <v>2.1640202979211001E-2</v>
      </c>
      <c r="N162" s="18">
        <f t="shared" si="11"/>
        <v>1.3615733736762481E-2</v>
      </c>
      <c r="O162" s="8">
        <f t="shared" si="12"/>
        <v>91.033333333333331</v>
      </c>
      <c r="P162" s="14">
        <f t="shared" si="13"/>
        <v>-325.68999999999994</v>
      </c>
      <c r="Q162" s="16">
        <f t="shared" si="14"/>
        <v>-0.39752227511290122</v>
      </c>
    </row>
    <row r="163" spans="1:17" x14ac:dyDescent="0.2">
      <c r="A163" s="2">
        <v>45671</v>
      </c>
      <c r="B163" s="3" t="s">
        <v>626</v>
      </c>
      <c r="C163" s="3" t="s">
        <v>41</v>
      </c>
      <c r="D163" s="3" t="s">
        <v>24</v>
      </c>
      <c r="E163" s="3" t="s">
        <v>20</v>
      </c>
      <c r="F163" s="3" t="s">
        <v>50</v>
      </c>
      <c r="G163" s="3" t="s">
        <v>17</v>
      </c>
      <c r="H163" s="3">
        <v>1284</v>
      </c>
      <c r="I163" s="3">
        <v>124</v>
      </c>
      <c r="J163" s="3">
        <v>11</v>
      </c>
      <c r="K163" s="13">
        <v>28.19</v>
      </c>
      <c r="L163" s="10">
        <v>1313.28</v>
      </c>
      <c r="M163" s="16">
        <f t="shared" si="10"/>
        <v>9.657320872274143E-2</v>
      </c>
      <c r="N163" s="18">
        <f t="shared" si="11"/>
        <v>8.8709677419354843E-2</v>
      </c>
      <c r="O163" s="8">
        <f t="shared" si="12"/>
        <v>2.562727272727273</v>
      </c>
      <c r="P163" s="14">
        <f t="shared" si="13"/>
        <v>1285.0899999999999</v>
      </c>
      <c r="Q163" s="16">
        <f t="shared" si="14"/>
        <v>45.586732884001414</v>
      </c>
    </row>
    <row r="164" spans="1:17" x14ac:dyDescent="0.2">
      <c r="A164" s="2">
        <v>45671</v>
      </c>
      <c r="B164" s="3" t="s">
        <v>303</v>
      </c>
      <c r="C164" s="3" t="s">
        <v>110</v>
      </c>
      <c r="D164" s="3" t="s">
        <v>24</v>
      </c>
      <c r="E164" s="3" t="s">
        <v>15</v>
      </c>
      <c r="F164" s="3" t="s">
        <v>29</v>
      </c>
      <c r="G164" s="3" t="s">
        <v>17</v>
      </c>
      <c r="H164" s="3">
        <v>1922</v>
      </c>
      <c r="I164" s="3">
        <v>262</v>
      </c>
      <c r="J164" s="3">
        <v>24</v>
      </c>
      <c r="K164" s="13">
        <v>128.29</v>
      </c>
      <c r="L164" s="10">
        <v>2181.42</v>
      </c>
      <c r="M164" s="16">
        <f t="shared" si="10"/>
        <v>0.13631633714880334</v>
      </c>
      <c r="N164" s="18">
        <f t="shared" si="11"/>
        <v>9.1603053435114504E-2</v>
      </c>
      <c r="O164" s="8">
        <f t="shared" si="12"/>
        <v>5.345416666666666</v>
      </c>
      <c r="P164" s="14">
        <f t="shared" si="13"/>
        <v>2053.13</v>
      </c>
      <c r="Q164" s="16">
        <f t="shared" si="14"/>
        <v>16.003819471509864</v>
      </c>
    </row>
    <row r="165" spans="1:17" x14ac:dyDescent="0.2">
      <c r="A165" s="2">
        <v>45672</v>
      </c>
      <c r="B165" s="3" t="s">
        <v>453</v>
      </c>
      <c r="C165" s="3" t="s">
        <v>58</v>
      </c>
      <c r="D165" s="3" t="s">
        <v>37</v>
      </c>
      <c r="E165" s="3" t="s">
        <v>15</v>
      </c>
      <c r="F165" s="3" t="s">
        <v>29</v>
      </c>
      <c r="G165" s="3" t="s">
        <v>21</v>
      </c>
      <c r="H165" s="3">
        <v>6934</v>
      </c>
      <c r="I165" s="3">
        <v>138</v>
      </c>
      <c r="J165" s="3">
        <v>1</v>
      </c>
      <c r="K165" s="13">
        <v>767.23</v>
      </c>
      <c r="L165" s="10">
        <v>132.11000000000001</v>
      </c>
      <c r="M165" s="16">
        <f t="shared" si="10"/>
        <v>1.9901932506489761E-2</v>
      </c>
      <c r="N165" s="18">
        <f t="shared" si="11"/>
        <v>7.246376811594203E-3</v>
      </c>
      <c r="O165" s="8">
        <f t="shared" si="12"/>
        <v>767.23</v>
      </c>
      <c r="P165" s="14">
        <f t="shared" si="13"/>
        <v>-635.12</v>
      </c>
      <c r="Q165" s="16">
        <f t="shared" si="14"/>
        <v>-0.82780913155116453</v>
      </c>
    </row>
    <row r="166" spans="1:17" x14ac:dyDescent="0.2">
      <c r="A166" s="2">
        <v>45672</v>
      </c>
      <c r="B166" s="3" t="s">
        <v>165</v>
      </c>
      <c r="C166" s="3" t="s">
        <v>39</v>
      </c>
      <c r="D166" s="3" t="s">
        <v>28</v>
      </c>
      <c r="E166" s="3" t="s">
        <v>31</v>
      </c>
      <c r="F166" s="3" t="s">
        <v>16</v>
      </c>
      <c r="G166" s="3" t="s">
        <v>21</v>
      </c>
      <c r="H166" s="3">
        <v>32065</v>
      </c>
      <c r="I166" s="3">
        <v>326</v>
      </c>
      <c r="J166" s="3">
        <v>7</v>
      </c>
      <c r="K166" s="13">
        <v>420.27</v>
      </c>
      <c r="L166" s="10">
        <v>590.41</v>
      </c>
      <c r="M166" s="16">
        <f t="shared" si="10"/>
        <v>1.0166848588803993E-2</v>
      </c>
      <c r="N166" s="18">
        <f t="shared" si="11"/>
        <v>2.1472392638036811E-2</v>
      </c>
      <c r="O166" s="8">
        <f t="shared" si="12"/>
        <v>60.038571428571423</v>
      </c>
      <c r="P166" s="14">
        <f t="shared" si="13"/>
        <v>170.14</v>
      </c>
      <c r="Q166" s="16">
        <f t="shared" si="14"/>
        <v>0.40483498703214599</v>
      </c>
    </row>
    <row r="167" spans="1:17" x14ac:dyDescent="0.2">
      <c r="A167" s="2">
        <v>45672</v>
      </c>
      <c r="B167" s="3" t="s">
        <v>627</v>
      </c>
      <c r="C167" s="3" t="s">
        <v>41</v>
      </c>
      <c r="D167" s="3" t="s">
        <v>24</v>
      </c>
      <c r="E167" s="3" t="s">
        <v>15</v>
      </c>
      <c r="F167" s="3" t="s">
        <v>34</v>
      </c>
      <c r="G167" s="3" t="s">
        <v>17</v>
      </c>
      <c r="H167" s="3">
        <v>3045</v>
      </c>
      <c r="I167" s="3">
        <v>339</v>
      </c>
      <c r="J167" s="3">
        <v>24</v>
      </c>
      <c r="K167" s="13">
        <v>93.87</v>
      </c>
      <c r="L167" s="10">
        <v>2651.85</v>
      </c>
      <c r="M167" s="16">
        <f t="shared" si="10"/>
        <v>0.11133004926108374</v>
      </c>
      <c r="N167" s="18">
        <f t="shared" si="11"/>
        <v>7.0796460176991149E-2</v>
      </c>
      <c r="O167" s="8">
        <f t="shared" si="12"/>
        <v>3.9112500000000003</v>
      </c>
      <c r="P167" s="14">
        <f t="shared" si="13"/>
        <v>2557.98</v>
      </c>
      <c r="Q167" s="16">
        <f t="shared" si="14"/>
        <v>27.250239693192711</v>
      </c>
    </row>
    <row r="168" spans="1:17" x14ac:dyDescent="0.2">
      <c r="A168" s="2">
        <v>45672</v>
      </c>
      <c r="B168" s="3" t="s">
        <v>215</v>
      </c>
      <c r="C168" s="3" t="s">
        <v>39</v>
      </c>
      <c r="D168" s="3" t="s">
        <v>28</v>
      </c>
      <c r="E168" s="3" t="s">
        <v>15</v>
      </c>
      <c r="F168" s="3" t="s">
        <v>16</v>
      </c>
      <c r="G168" s="3" t="s">
        <v>17</v>
      </c>
      <c r="H168" s="3">
        <v>24634</v>
      </c>
      <c r="I168" s="3">
        <v>392</v>
      </c>
      <c r="J168" s="3">
        <v>4</v>
      </c>
      <c r="K168" s="12">
        <v>459.33</v>
      </c>
      <c r="L168" s="10">
        <v>28.24</v>
      </c>
      <c r="M168" s="16">
        <f t="shared" si="10"/>
        <v>1.5912965819598928E-2</v>
      </c>
      <c r="N168" s="18">
        <f t="shared" si="11"/>
        <v>1.020408163265306E-2</v>
      </c>
      <c r="O168" s="8">
        <f t="shared" si="12"/>
        <v>114.8325</v>
      </c>
      <c r="P168" s="14">
        <f t="shared" si="13"/>
        <v>-431.09</v>
      </c>
      <c r="Q168" s="16">
        <f t="shared" si="14"/>
        <v>-0.93851914745390019</v>
      </c>
    </row>
    <row r="169" spans="1:17" x14ac:dyDescent="0.2">
      <c r="A169" s="2">
        <v>45672</v>
      </c>
      <c r="B169" s="3" t="s">
        <v>628</v>
      </c>
      <c r="C169" s="3" t="s">
        <v>110</v>
      </c>
      <c r="D169" s="3" t="s">
        <v>24</v>
      </c>
      <c r="E169" s="3" t="s">
        <v>31</v>
      </c>
      <c r="F169" s="3" t="s">
        <v>16</v>
      </c>
      <c r="G169" s="3" t="s">
        <v>17</v>
      </c>
      <c r="H169" s="3">
        <v>4504</v>
      </c>
      <c r="I169" s="3">
        <v>544</v>
      </c>
      <c r="J169" s="3">
        <v>77</v>
      </c>
      <c r="K169" s="12">
        <v>206.37</v>
      </c>
      <c r="L169" s="10">
        <v>9574.9599999999991</v>
      </c>
      <c r="M169" s="16">
        <f t="shared" si="10"/>
        <v>0.12078152753108348</v>
      </c>
      <c r="N169" s="18">
        <f t="shared" si="11"/>
        <v>0.14154411764705882</v>
      </c>
      <c r="O169" s="8">
        <f t="shared" si="12"/>
        <v>2.6801298701298704</v>
      </c>
      <c r="P169" s="14">
        <f t="shared" si="13"/>
        <v>9368.5899999999983</v>
      </c>
      <c r="Q169" s="16">
        <f t="shared" si="14"/>
        <v>45.397053835344273</v>
      </c>
    </row>
    <row r="170" spans="1:17" x14ac:dyDescent="0.2">
      <c r="A170" s="2">
        <v>45672</v>
      </c>
      <c r="B170" s="3" t="s">
        <v>629</v>
      </c>
      <c r="C170" s="3" t="s">
        <v>52</v>
      </c>
      <c r="D170" s="3" t="s">
        <v>24</v>
      </c>
      <c r="E170" s="3" t="s">
        <v>20</v>
      </c>
      <c r="F170" s="3" t="s">
        <v>47</v>
      </c>
      <c r="G170" s="3" t="s">
        <v>17</v>
      </c>
      <c r="H170" s="3">
        <v>3555</v>
      </c>
      <c r="I170" s="3">
        <v>386</v>
      </c>
      <c r="J170" s="3">
        <v>39</v>
      </c>
      <c r="K170" s="12">
        <v>135.63</v>
      </c>
      <c r="L170" s="10">
        <v>5746.3</v>
      </c>
      <c r="M170" s="16">
        <f t="shared" si="10"/>
        <v>0.10857946554149085</v>
      </c>
      <c r="N170" s="18">
        <f t="shared" si="11"/>
        <v>0.10103626943005181</v>
      </c>
      <c r="O170" s="8">
        <f t="shared" si="12"/>
        <v>3.4776923076923074</v>
      </c>
      <c r="P170" s="14">
        <f t="shared" si="13"/>
        <v>5610.67</v>
      </c>
      <c r="Q170" s="16">
        <f t="shared" si="14"/>
        <v>41.367470323674702</v>
      </c>
    </row>
    <row r="171" spans="1:17" x14ac:dyDescent="0.2">
      <c r="A171" s="2">
        <v>45672</v>
      </c>
      <c r="B171" s="3" t="s">
        <v>630</v>
      </c>
      <c r="C171" s="3" t="s">
        <v>36</v>
      </c>
      <c r="D171" s="3" t="s">
        <v>37</v>
      </c>
      <c r="E171" s="3" t="s">
        <v>31</v>
      </c>
      <c r="F171" s="3" t="s">
        <v>16</v>
      </c>
      <c r="G171" s="3" t="s">
        <v>25</v>
      </c>
      <c r="H171" s="3">
        <v>2415</v>
      </c>
      <c r="I171" s="3">
        <v>103</v>
      </c>
      <c r="J171" s="3">
        <v>3</v>
      </c>
      <c r="K171" s="12">
        <v>710.66</v>
      </c>
      <c r="L171" s="10">
        <v>401.22</v>
      </c>
      <c r="M171" s="16">
        <f t="shared" si="10"/>
        <v>4.265010351966874E-2</v>
      </c>
      <c r="N171" s="18">
        <f t="shared" si="11"/>
        <v>2.9126213592233011E-2</v>
      </c>
      <c r="O171" s="8">
        <f t="shared" si="12"/>
        <v>236.88666666666666</v>
      </c>
      <c r="P171" s="14">
        <f t="shared" si="13"/>
        <v>-309.43999999999994</v>
      </c>
      <c r="Q171" s="16">
        <f t="shared" si="14"/>
        <v>-0.43542622351053945</v>
      </c>
    </row>
    <row r="172" spans="1:17" x14ac:dyDescent="0.2">
      <c r="A172" s="2">
        <v>45672</v>
      </c>
      <c r="B172" s="3" t="s">
        <v>475</v>
      </c>
      <c r="C172" s="3" t="s">
        <v>58</v>
      </c>
      <c r="D172" s="3" t="s">
        <v>37</v>
      </c>
      <c r="E172" s="3" t="s">
        <v>20</v>
      </c>
      <c r="F172" s="3" t="s">
        <v>50</v>
      </c>
      <c r="G172" s="3" t="s">
        <v>21</v>
      </c>
      <c r="H172" s="3">
        <v>2849</v>
      </c>
      <c r="I172" s="3">
        <v>120</v>
      </c>
      <c r="J172" s="3">
        <v>3</v>
      </c>
      <c r="K172" s="12">
        <v>834.91</v>
      </c>
      <c r="L172" s="10">
        <v>527.95000000000005</v>
      </c>
      <c r="M172" s="16">
        <f t="shared" si="10"/>
        <v>4.2120042120042119E-2</v>
      </c>
      <c r="N172" s="18">
        <f t="shared" si="11"/>
        <v>2.5000000000000001E-2</v>
      </c>
      <c r="O172" s="8">
        <f t="shared" si="12"/>
        <v>278.30333333333334</v>
      </c>
      <c r="P172" s="14">
        <f t="shared" si="13"/>
        <v>-306.95999999999992</v>
      </c>
      <c r="Q172" s="16">
        <f t="shared" si="14"/>
        <v>-0.36765639410235829</v>
      </c>
    </row>
    <row r="173" spans="1:17" x14ac:dyDescent="0.2">
      <c r="A173" s="2">
        <v>45672</v>
      </c>
      <c r="B173" s="3" t="s">
        <v>501</v>
      </c>
      <c r="C173" s="3" t="s">
        <v>27</v>
      </c>
      <c r="D173" s="3" t="s">
        <v>28</v>
      </c>
      <c r="E173" s="3" t="s">
        <v>20</v>
      </c>
      <c r="F173" s="3" t="s">
        <v>34</v>
      </c>
      <c r="G173" s="3" t="s">
        <v>17</v>
      </c>
      <c r="H173" s="3">
        <v>19768</v>
      </c>
      <c r="I173" s="3">
        <v>501</v>
      </c>
      <c r="J173" s="3">
        <v>4</v>
      </c>
      <c r="K173" s="12">
        <v>0</v>
      </c>
      <c r="L173" s="10">
        <v>216.44</v>
      </c>
      <c r="M173" s="16">
        <f t="shared" si="10"/>
        <v>2.5343990287333064E-2</v>
      </c>
      <c r="N173" s="18">
        <f t="shared" si="11"/>
        <v>7.9840319361277438E-3</v>
      </c>
      <c r="O173" s="8">
        <f t="shared" si="12"/>
        <v>0</v>
      </c>
      <c r="P173" s="14">
        <f t="shared" si="13"/>
        <v>216.44</v>
      </c>
      <c r="Q173" s="16">
        <f t="shared" si="14"/>
        <v>0</v>
      </c>
    </row>
    <row r="174" spans="1:17" x14ac:dyDescent="0.2">
      <c r="A174" s="2">
        <v>45672</v>
      </c>
      <c r="B174" s="3" t="s">
        <v>631</v>
      </c>
      <c r="C174" s="3" t="s">
        <v>156</v>
      </c>
      <c r="D174" s="3" t="s">
        <v>46</v>
      </c>
      <c r="E174" s="3" t="s">
        <v>20</v>
      </c>
      <c r="F174" s="3" t="s">
        <v>34</v>
      </c>
      <c r="G174" s="3" t="s">
        <v>17</v>
      </c>
      <c r="H174" s="3">
        <v>17492</v>
      </c>
      <c r="I174" s="3">
        <v>549</v>
      </c>
      <c r="J174" s="3">
        <v>12</v>
      </c>
      <c r="K174" s="12">
        <v>657.42</v>
      </c>
      <c r="L174" s="10">
        <v>1147.28</v>
      </c>
      <c r="M174" s="16">
        <f t="shared" si="10"/>
        <v>3.1385776354905102E-2</v>
      </c>
      <c r="N174" s="18">
        <f t="shared" si="11"/>
        <v>2.185792349726776E-2</v>
      </c>
      <c r="O174" s="8">
        <f t="shared" si="12"/>
        <v>54.784999999999997</v>
      </c>
      <c r="P174" s="14">
        <f t="shared" si="13"/>
        <v>489.86</v>
      </c>
      <c r="Q174" s="16">
        <f t="shared" si="14"/>
        <v>0.74512488211493422</v>
      </c>
    </row>
    <row r="175" spans="1:17" x14ac:dyDescent="0.2">
      <c r="A175" s="2">
        <v>45672</v>
      </c>
      <c r="B175" s="3" t="s">
        <v>632</v>
      </c>
      <c r="C175" s="3" t="s">
        <v>13</v>
      </c>
      <c r="D175" s="3" t="s">
        <v>14</v>
      </c>
      <c r="E175" s="3" t="s">
        <v>20</v>
      </c>
      <c r="F175" s="3" t="s">
        <v>34</v>
      </c>
      <c r="G175" s="3" t="s">
        <v>21</v>
      </c>
      <c r="H175" s="3">
        <v>13011</v>
      </c>
      <c r="I175" s="3">
        <v>368</v>
      </c>
      <c r="J175" s="3">
        <v>16</v>
      </c>
      <c r="K175" s="12">
        <v>835.75</v>
      </c>
      <c r="L175" s="10">
        <v>1034.02</v>
      </c>
      <c r="M175" s="16">
        <f t="shared" si="10"/>
        <v>2.8283759895473062E-2</v>
      </c>
      <c r="N175" s="18">
        <f t="shared" si="11"/>
        <v>4.3478260869565216E-2</v>
      </c>
      <c r="O175" s="8">
        <f t="shared" si="12"/>
        <v>52.234375</v>
      </c>
      <c r="P175" s="14">
        <f t="shared" si="13"/>
        <v>198.26999999999998</v>
      </c>
      <c r="Q175" s="16">
        <f t="shared" si="14"/>
        <v>0.23723601555489079</v>
      </c>
    </row>
    <row r="176" spans="1:17" x14ac:dyDescent="0.2">
      <c r="A176" s="2">
        <v>45672</v>
      </c>
      <c r="B176" s="3" t="s">
        <v>633</v>
      </c>
      <c r="C176" s="3" t="s">
        <v>54</v>
      </c>
      <c r="D176" s="3" t="s">
        <v>14</v>
      </c>
      <c r="E176" s="3" t="s">
        <v>20</v>
      </c>
      <c r="F176" s="3" t="s">
        <v>34</v>
      </c>
      <c r="G176" s="3" t="s">
        <v>17</v>
      </c>
      <c r="H176" s="3">
        <v>11749</v>
      </c>
      <c r="I176" s="3">
        <v>810</v>
      </c>
      <c r="J176" s="3">
        <v>28</v>
      </c>
      <c r="K176" s="12">
        <v>2023.76</v>
      </c>
      <c r="L176" s="10">
        <v>2592.0300000000002</v>
      </c>
      <c r="M176" s="16">
        <f t="shared" si="10"/>
        <v>6.8942037620222996E-2</v>
      </c>
      <c r="N176" s="18">
        <f t="shared" si="11"/>
        <v>3.4567901234567898E-2</v>
      </c>
      <c r="O176" s="8">
        <f t="shared" si="12"/>
        <v>72.277142857142863</v>
      </c>
      <c r="P176" s="14">
        <f t="shared" si="13"/>
        <v>568.27000000000021</v>
      </c>
      <c r="Q176" s="16">
        <f t="shared" si="14"/>
        <v>0.28079910661343255</v>
      </c>
    </row>
    <row r="177" spans="1:17" x14ac:dyDescent="0.2">
      <c r="A177" s="2">
        <v>45673</v>
      </c>
      <c r="B177" s="3" t="s">
        <v>426</v>
      </c>
      <c r="C177" s="3" t="s">
        <v>74</v>
      </c>
      <c r="D177" s="3" t="s">
        <v>28</v>
      </c>
      <c r="E177" s="3" t="s">
        <v>20</v>
      </c>
      <c r="F177" s="3" t="s">
        <v>16</v>
      </c>
      <c r="G177" s="3" t="s">
        <v>21</v>
      </c>
      <c r="H177" s="3">
        <v>20157</v>
      </c>
      <c r="I177" s="3">
        <v>157</v>
      </c>
      <c r="J177" s="3">
        <v>2</v>
      </c>
      <c r="K177" s="12">
        <v>188.76</v>
      </c>
      <c r="L177" s="10">
        <v>154.34</v>
      </c>
      <c r="M177" s="16">
        <f t="shared" si="10"/>
        <v>7.7888574688693753E-3</v>
      </c>
      <c r="N177" s="18">
        <f t="shared" si="11"/>
        <v>1.2738853503184714E-2</v>
      </c>
      <c r="O177" s="8">
        <f t="shared" si="12"/>
        <v>94.38</v>
      </c>
      <c r="P177" s="14">
        <f t="shared" si="13"/>
        <v>-34.419999999999987</v>
      </c>
      <c r="Q177" s="16">
        <f t="shared" si="14"/>
        <v>-0.18234795507522775</v>
      </c>
    </row>
    <row r="178" spans="1:17" x14ac:dyDescent="0.2">
      <c r="A178" s="2">
        <v>45673</v>
      </c>
      <c r="B178" s="3" t="s">
        <v>634</v>
      </c>
      <c r="C178" s="3" t="s">
        <v>97</v>
      </c>
      <c r="D178" s="3" t="s">
        <v>46</v>
      </c>
      <c r="E178" s="3" t="s">
        <v>20</v>
      </c>
      <c r="F178" s="3" t="s">
        <v>16</v>
      </c>
      <c r="G178" s="3" t="s">
        <v>21</v>
      </c>
      <c r="H178" s="3">
        <v>11736</v>
      </c>
      <c r="I178" s="3">
        <v>431</v>
      </c>
      <c r="J178" s="3">
        <v>13</v>
      </c>
      <c r="K178" s="12">
        <v>603.08000000000004</v>
      </c>
      <c r="L178" s="10">
        <v>939.75</v>
      </c>
      <c r="M178" s="16">
        <f t="shared" si="10"/>
        <v>3.6724608043626449E-2</v>
      </c>
      <c r="N178" s="18">
        <f t="shared" si="11"/>
        <v>3.0162412993039442E-2</v>
      </c>
      <c r="O178" s="8">
        <f t="shared" si="12"/>
        <v>46.390769230769237</v>
      </c>
      <c r="P178" s="14">
        <f t="shared" si="13"/>
        <v>336.66999999999996</v>
      </c>
      <c r="Q178" s="16">
        <f t="shared" si="14"/>
        <v>0.55825097831133508</v>
      </c>
    </row>
    <row r="179" spans="1:17" x14ac:dyDescent="0.2">
      <c r="A179" s="2">
        <v>45673</v>
      </c>
      <c r="B179" s="3" t="s">
        <v>293</v>
      </c>
      <c r="C179" s="3" t="s">
        <v>52</v>
      </c>
      <c r="D179" s="3" t="s">
        <v>24</v>
      </c>
      <c r="E179" s="3" t="s">
        <v>15</v>
      </c>
      <c r="F179" s="3" t="s">
        <v>16</v>
      </c>
      <c r="G179" s="3" t="s">
        <v>17</v>
      </c>
      <c r="H179" s="3">
        <v>2871</v>
      </c>
      <c r="I179" s="3">
        <v>244</v>
      </c>
      <c r="J179" s="3">
        <v>15</v>
      </c>
      <c r="K179" s="12">
        <v>61.49</v>
      </c>
      <c r="L179" s="10">
        <v>1979.96</v>
      </c>
      <c r="M179" s="16">
        <f t="shared" si="10"/>
        <v>8.4987809125740166E-2</v>
      </c>
      <c r="N179" s="18">
        <f t="shared" si="11"/>
        <v>6.1475409836065573E-2</v>
      </c>
      <c r="O179" s="8">
        <f t="shared" si="12"/>
        <v>4.0993333333333331</v>
      </c>
      <c r="P179" s="14">
        <f t="shared" si="13"/>
        <v>1918.47</v>
      </c>
      <c r="Q179" s="16">
        <f t="shared" si="14"/>
        <v>31.199707269474711</v>
      </c>
    </row>
    <row r="180" spans="1:17" x14ac:dyDescent="0.2">
      <c r="A180" s="2">
        <v>45673</v>
      </c>
      <c r="B180" s="3" t="s">
        <v>635</v>
      </c>
      <c r="C180" s="3" t="s">
        <v>39</v>
      </c>
      <c r="D180" s="3" t="s">
        <v>28</v>
      </c>
      <c r="E180" s="3" t="s">
        <v>20</v>
      </c>
      <c r="F180" s="3" t="s">
        <v>29</v>
      </c>
      <c r="G180" s="3" t="s">
        <v>21</v>
      </c>
      <c r="H180" s="3">
        <v>15826</v>
      </c>
      <c r="I180" s="3">
        <v>235</v>
      </c>
      <c r="J180" s="3">
        <v>3</v>
      </c>
      <c r="K180" s="12">
        <v>263.49</v>
      </c>
      <c r="L180" s="10">
        <v>156.43</v>
      </c>
      <c r="M180" s="16">
        <f t="shared" si="10"/>
        <v>1.4848982686718059E-2</v>
      </c>
      <c r="N180" s="18">
        <f t="shared" si="11"/>
        <v>1.276595744680851E-2</v>
      </c>
      <c r="O180" s="8">
        <f t="shared" si="12"/>
        <v>87.83</v>
      </c>
      <c r="P180" s="14">
        <f t="shared" si="13"/>
        <v>-107.06</v>
      </c>
      <c r="Q180" s="16">
        <f t="shared" si="14"/>
        <v>-0.40631523017951343</v>
      </c>
    </row>
    <row r="181" spans="1:17" x14ac:dyDescent="0.2">
      <c r="A181" s="2">
        <v>45673</v>
      </c>
      <c r="B181" s="3" t="s">
        <v>91</v>
      </c>
      <c r="C181" s="3" t="s">
        <v>52</v>
      </c>
      <c r="D181" s="3" t="s">
        <v>24</v>
      </c>
      <c r="E181" s="3" t="s">
        <v>20</v>
      </c>
      <c r="F181" s="3" t="s">
        <v>50</v>
      </c>
      <c r="G181" s="3" t="s">
        <v>21</v>
      </c>
      <c r="H181" s="3">
        <v>4204</v>
      </c>
      <c r="I181" s="3">
        <v>494</v>
      </c>
      <c r="J181" s="3">
        <v>81</v>
      </c>
      <c r="K181" s="12">
        <v>144.53</v>
      </c>
      <c r="L181" s="10">
        <v>10317.02</v>
      </c>
      <c r="M181" s="16">
        <f t="shared" si="10"/>
        <v>0.11750713606089438</v>
      </c>
      <c r="N181" s="18">
        <f t="shared" si="11"/>
        <v>0.16396761133603238</v>
      </c>
      <c r="O181" s="8">
        <f t="shared" si="12"/>
        <v>1.7843209876543209</v>
      </c>
      <c r="P181" s="14">
        <f t="shared" si="13"/>
        <v>10172.49</v>
      </c>
      <c r="Q181" s="16">
        <f t="shared" si="14"/>
        <v>70.383242233446339</v>
      </c>
    </row>
    <row r="182" spans="1:17" x14ac:dyDescent="0.2">
      <c r="A182" s="2">
        <v>45673</v>
      </c>
      <c r="B182" s="3" t="s">
        <v>206</v>
      </c>
      <c r="C182" s="3" t="s">
        <v>43</v>
      </c>
      <c r="D182" s="3" t="s">
        <v>37</v>
      </c>
      <c r="E182" s="3" t="s">
        <v>31</v>
      </c>
      <c r="F182" s="3" t="s">
        <v>50</v>
      </c>
      <c r="G182" s="3" t="s">
        <v>17</v>
      </c>
      <c r="H182" s="3">
        <v>4456</v>
      </c>
      <c r="I182" s="3">
        <v>258</v>
      </c>
      <c r="J182" s="3">
        <v>9</v>
      </c>
      <c r="K182" s="12">
        <v>1261.8599999999999</v>
      </c>
      <c r="L182" s="10">
        <v>1449.48</v>
      </c>
      <c r="M182" s="16">
        <f t="shared" si="10"/>
        <v>5.7899461400359065E-2</v>
      </c>
      <c r="N182" s="18">
        <f t="shared" si="11"/>
        <v>3.4883720930232558E-2</v>
      </c>
      <c r="O182" s="8">
        <f t="shared" si="12"/>
        <v>140.20666666666665</v>
      </c>
      <c r="P182" s="14">
        <f t="shared" si="13"/>
        <v>187.62000000000012</v>
      </c>
      <c r="Q182" s="16">
        <f t="shared" si="14"/>
        <v>0.14868527411915755</v>
      </c>
    </row>
    <row r="183" spans="1:17" x14ac:dyDescent="0.2">
      <c r="A183" s="2">
        <v>45673</v>
      </c>
      <c r="B183" s="3" t="s">
        <v>528</v>
      </c>
      <c r="C183" s="3" t="s">
        <v>97</v>
      </c>
      <c r="D183" s="3" t="s">
        <v>46</v>
      </c>
      <c r="E183" s="3" t="s">
        <v>15</v>
      </c>
      <c r="F183" s="3" t="s">
        <v>50</v>
      </c>
      <c r="G183" s="3" t="s">
        <v>21</v>
      </c>
      <c r="H183" s="3">
        <v>19186</v>
      </c>
      <c r="I183" s="3">
        <v>444</v>
      </c>
      <c r="J183" s="3">
        <v>8</v>
      </c>
      <c r="K183" s="12">
        <v>735.6</v>
      </c>
      <c r="L183" s="10">
        <v>678.29</v>
      </c>
      <c r="M183" s="16">
        <f t="shared" si="10"/>
        <v>2.3141874283331598E-2</v>
      </c>
      <c r="N183" s="18">
        <f t="shared" si="11"/>
        <v>1.8018018018018018E-2</v>
      </c>
      <c r="O183" s="8">
        <f t="shared" si="12"/>
        <v>91.95</v>
      </c>
      <c r="P183" s="14">
        <f t="shared" si="13"/>
        <v>-57.310000000000059</v>
      </c>
      <c r="Q183" s="16">
        <f t="shared" si="14"/>
        <v>-7.7909189777052829E-2</v>
      </c>
    </row>
    <row r="184" spans="1:17" x14ac:dyDescent="0.2">
      <c r="A184" s="2">
        <v>45673</v>
      </c>
      <c r="B184" s="3" t="s">
        <v>290</v>
      </c>
      <c r="C184" s="3" t="s">
        <v>71</v>
      </c>
      <c r="D184" s="3" t="s">
        <v>37</v>
      </c>
      <c r="E184" s="3" t="s">
        <v>31</v>
      </c>
      <c r="F184" s="3" t="s">
        <v>34</v>
      </c>
      <c r="G184" s="3" t="s">
        <v>17</v>
      </c>
      <c r="H184" s="3">
        <v>6515</v>
      </c>
      <c r="I184" s="3">
        <v>372</v>
      </c>
      <c r="J184" s="3">
        <v>4</v>
      </c>
      <c r="K184" s="12">
        <v>1540.83</v>
      </c>
      <c r="L184" s="10">
        <v>470.45</v>
      </c>
      <c r="M184" s="16">
        <f t="shared" si="10"/>
        <v>5.7099002302379125E-2</v>
      </c>
      <c r="N184" s="18">
        <f t="shared" si="11"/>
        <v>1.0752688172043012E-2</v>
      </c>
      <c r="O184" s="8">
        <f t="shared" si="12"/>
        <v>385.20749999999998</v>
      </c>
      <c r="P184" s="14">
        <f t="shared" si="13"/>
        <v>-1070.3799999999999</v>
      </c>
      <c r="Q184" s="16">
        <f t="shared" si="14"/>
        <v>-0.69467754392113334</v>
      </c>
    </row>
    <row r="185" spans="1:17" x14ac:dyDescent="0.2">
      <c r="A185" s="2">
        <v>45673</v>
      </c>
      <c r="B185" s="3" t="s">
        <v>636</v>
      </c>
      <c r="C185" s="3" t="s">
        <v>71</v>
      </c>
      <c r="D185" s="3" t="s">
        <v>37</v>
      </c>
      <c r="E185" s="3" t="s">
        <v>31</v>
      </c>
      <c r="F185" s="3" t="s">
        <v>50</v>
      </c>
      <c r="G185" s="3" t="s">
        <v>17</v>
      </c>
      <c r="H185" s="3">
        <v>2571</v>
      </c>
      <c r="I185" s="3">
        <v>137</v>
      </c>
      <c r="J185" s="3">
        <v>3</v>
      </c>
      <c r="K185" s="12">
        <v>964.02</v>
      </c>
      <c r="L185" s="10">
        <v>439.79</v>
      </c>
      <c r="M185" s="16">
        <f t="shared" si="10"/>
        <v>5.3286658887592375E-2</v>
      </c>
      <c r="N185" s="18">
        <f t="shared" si="11"/>
        <v>2.1897810218978103E-2</v>
      </c>
      <c r="O185" s="8">
        <f t="shared" si="12"/>
        <v>321.33999999999997</v>
      </c>
      <c r="P185" s="14">
        <f t="shared" si="13"/>
        <v>-524.23</v>
      </c>
      <c r="Q185" s="16">
        <f t="shared" si="14"/>
        <v>-0.54379577187195294</v>
      </c>
    </row>
    <row r="186" spans="1:17" x14ac:dyDescent="0.2">
      <c r="A186" s="2">
        <v>45673</v>
      </c>
      <c r="B186" s="3" t="s">
        <v>637</v>
      </c>
      <c r="C186" s="3" t="s">
        <v>74</v>
      </c>
      <c r="D186" s="3" t="s">
        <v>28</v>
      </c>
      <c r="E186" s="3" t="s">
        <v>20</v>
      </c>
      <c r="F186" s="3" t="s">
        <v>34</v>
      </c>
      <c r="G186" s="3" t="s">
        <v>17</v>
      </c>
      <c r="H186" s="3">
        <v>34893</v>
      </c>
      <c r="I186" s="3">
        <v>637</v>
      </c>
      <c r="J186" s="3">
        <v>5</v>
      </c>
      <c r="K186" s="12">
        <v>685.09</v>
      </c>
      <c r="L186" s="10">
        <v>251.04</v>
      </c>
      <c r="M186" s="16">
        <f t="shared" si="10"/>
        <v>1.8255810621041469E-2</v>
      </c>
      <c r="N186" s="18">
        <f t="shared" si="11"/>
        <v>7.8492935635792772E-3</v>
      </c>
      <c r="O186" s="8">
        <f t="shared" si="12"/>
        <v>137.018</v>
      </c>
      <c r="P186" s="14">
        <f t="shared" si="13"/>
        <v>-434.05000000000007</v>
      </c>
      <c r="Q186" s="16">
        <f t="shared" si="14"/>
        <v>-0.63356639273672077</v>
      </c>
    </row>
    <row r="187" spans="1:17" x14ac:dyDescent="0.2">
      <c r="A187" s="2">
        <v>45673</v>
      </c>
      <c r="B187" s="3" t="s">
        <v>307</v>
      </c>
      <c r="C187" s="3" t="s">
        <v>19</v>
      </c>
      <c r="D187" s="3" t="s">
        <v>14</v>
      </c>
      <c r="E187" s="3" t="s">
        <v>20</v>
      </c>
      <c r="F187" s="3" t="s">
        <v>34</v>
      </c>
      <c r="G187" s="3" t="s">
        <v>21</v>
      </c>
      <c r="H187" s="3">
        <v>10055</v>
      </c>
      <c r="I187" s="3">
        <v>461</v>
      </c>
      <c r="J187" s="3">
        <v>21</v>
      </c>
      <c r="K187" s="12">
        <v>874.15</v>
      </c>
      <c r="L187" s="10">
        <v>1491.32</v>
      </c>
      <c r="M187" s="16">
        <f t="shared" si="10"/>
        <v>4.584783689706614E-2</v>
      </c>
      <c r="N187" s="18">
        <f t="shared" si="11"/>
        <v>4.5553145336225599E-2</v>
      </c>
      <c r="O187" s="8">
        <f t="shared" si="12"/>
        <v>41.626190476190473</v>
      </c>
      <c r="P187" s="14">
        <f t="shared" si="13"/>
        <v>617.16999999999996</v>
      </c>
      <c r="Q187" s="16">
        <f t="shared" si="14"/>
        <v>0.70602299376537203</v>
      </c>
    </row>
    <row r="188" spans="1:17" x14ac:dyDescent="0.2">
      <c r="A188" s="2">
        <v>45673</v>
      </c>
      <c r="B188" s="3" t="s">
        <v>638</v>
      </c>
      <c r="C188" s="3" t="s">
        <v>54</v>
      </c>
      <c r="D188" s="3" t="s">
        <v>14</v>
      </c>
      <c r="E188" s="3" t="s">
        <v>20</v>
      </c>
      <c r="F188" s="3" t="s">
        <v>50</v>
      </c>
      <c r="G188" s="3" t="s">
        <v>17</v>
      </c>
      <c r="H188" s="3">
        <v>8914</v>
      </c>
      <c r="I188" s="3">
        <v>549</v>
      </c>
      <c r="J188" s="3">
        <v>14</v>
      </c>
      <c r="K188" s="12">
        <v>943.85</v>
      </c>
      <c r="L188" s="10">
        <v>1205.07</v>
      </c>
      <c r="M188" s="16">
        <f t="shared" si="10"/>
        <v>6.1588512452322192E-2</v>
      </c>
      <c r="N188" s="18">
        <f t="shared" si="11"/>
        <v>2.5500910746812388E-2</v>
      </c>
      <c r="O188" s="8">
        <f t="shared" si="12"/>
        <v>67.417857142857144</v>
      </c>
      <c r="P188" s="14">
        <f t="shared" si="13"/>
        <v>261.21999999999991</v>
      </c>
      <c r="Q188" s="16">
        <f t="shared" si="14"/>
        <v>0.27676007840228839</v>
      </c>
    </row>
    <row r="189" spans="1:17" x14ac:dyDescent="0.2">
      <c r="A189" s="2">
        <v>45673</v>
      </c>
      <c r="B189" s="3" t="s">
        <v>639</v>
      </c>
      <c r="C189" s="3" t="s">
        <v>120</v>
      </c>
      <c r="D189" s="3" t="s">
        <v>14</v>
      </c>
      <c r="E189" s="3" t="s">
        <v>20</v>
      </c>
      <c r="F189" s="3" t="s">
        <v>29</v>
      </c>
      <c r="G189" s="3" t="s">
        <v>21</v>
      </c>
      <c r="H189" s="3">
        <v>10893</v>
      </c>
      <c r="I189" s="3">
        <v>449</v>
      </c>
      <c r="J189" s="3">
        <v>19</v>
      </c>
      <c r="K189" s="12">
        <v>1318.29</v>
      </c>
      <c r="L189" s="10">
        <v>1616.31</v>
      </c>
      <c r="M189" s="16">
        <f t="shared" si="10"/>
        <v>4.1219131552373084E-2</v>
      </c>
      <c r="N189" s="18">
        <f t="shared" si="11"/>
        <v>4.2316258351893093E-2</v>
      </c>
      <c r="O189" s="8">
        <f t="shared" si="12"/>
        <v>69.383684210526312</v>
      </c>
      <c r="P189" s="14">
        <f t="shared" si="13"/>
        <v>298.02</v>
      </c>
      <c r="Q189" s="16">
        <f t="shared" si="14"/>
        <v>0.22606558496233756</v>
      </c>
    </row>
    <row r="190" spans="1:17" x14ac:dyDescent="0.2">
      <c r="A190" s="2">
        <v>45673</v>
      </c>
      <c r="B190" s="3" t="s">
        <v>640</v>
      </c>
      <c r="C190" s="3" t="s">
        <v>13</v>
      </c>
      <c r="D190" s="3" t="s">
        <v>14</v>
      </c>
      <c r="E190" s="3" t="s">
        <v>20</v>
      </c>
      <c r="F190" s="3" t="s">
        <v>50</v>
      </c>
      <c r="G190" s="3" t="s">
        <v>17</v>
      </c>
      <c r="H190" s="3">
        <v>8417</v>
      </c>
      <c r="I190" s="3">
        <v>339</v>
      </c>
      <c r="J190" s="3">
        <v>9</v>
      </c>
      <c r="K190" s="12">
        <v>827.27</v>
      </c>
      <c r="L190" s="10">
        <v>602.99</v>
      </c>
      <c r="M190" s="16">
        <f t="shared" si="10"/>
        <v>4.0275632648211955E-2</v>
      </c>
      <c r="N190" s="18">
        <f t="shared" si="11"/>
        <v>2.6548672566371681E-2</v>
      </c>
      <c r="O190" s="8">
        <f t="shared" si="12"/>
        <v>91.918888888888887</v>
      </c>
      <c r="P190" s="14">
        <f t="shared" si="13"/>
        <v>-224.27999999999997</v>
      </c>
      <c r="Q190" s="16">
        <f t="shared" si="14"/>
        <v>-0.27110858607226174</v>
      </c>
    </row>
    <row r="191" spans="1:17" x14ac:dyDescent="0.2">
      <c r="A191" s="2">
        <v>45674</v>
      </c>
      <c r="B191" s="3" t="s">
        <v>641</v>
      </c>
      <c r="C191" s="3" t="s">
        <v>36</v>
      </c>
      <c r="D191" s="3" t="s">
        <v>37</v>
      </c>
      <c r="E191" s="3" t="s">
        <v>20</v>
      </c>
      <c r="F191" s="3" t="s">
        <v>47</v>
      </c>
      <c r="G191" s="3" t="s">
        <v>17</v>
      </c>
      <c r="H191" s="3">
        <v>6259</v>
      </c>
      <c r="I191" s="3">
        <v>198</v>
      </c>
      <c r="J191" s="3">
        <v>4</v>
      </c>
      <c r="K191" s="12">
        <v>826.05</v>
      </c>
      <c r="L191" s="10">
        <v>184.45</v>
      </c>
      <c r="M191" s="16">
        <f t="shared" si="10"/>
        <v>3.163444639718805E-2</v>
      </c>
      <c r="N191" s="18">
        <f t="shared" si="11"/>
        <v>2.0202020202020204E-2</v>
      </c>
      <c r="O191" s="8">
        <f t="shared" si="12"/>
        <v>206.51249999999999</v>
      </c>
      <c r="P191" s="14">
        <f t="shared" si="13"/>
        <v>-641.59999999999991</v>
      </c>
      <c r="Q191" s="16">
        <f t="shared" si="14"/>
        <v>-0.77670843169299675</v>
      </c>
    </row>
    <row r="192" spans="1:17" x14ac:dyDescent="0.2">
      <c r="A192" s="2">
        <v>45674</v>
      </c>
      <c r="B192" s="3" t="s">
        <v>508</v>
      </c>
      <c r="C192" s="3" t="s">
        <v>52</v>
      </c>
      <c r="D192" s="3" t="s">
        <v>24</v>
      </c>
      <c r="E192" s="3" t="s">
        <v>31</v>
      </c>
      <c r="F192" s="3" t="s">
        <v>50</v>
      </c>
      <c r="G192" s="3" t="s">
        <v>21</v>
      </c>
      <c r="H192" s="3">
        <v>2405</v>
      </c>
      <c r="I192" s="3">
        <v>294</v>
      </c>
      <c r="J192" s="3">
        <v>57</v>
      </c>
      <c r="K192" s="12">
        <v>94.13</v>
      </c>
      <c r="L192" s="10">
        <v>8642.36</v>
      </c>
      <c r="M192" s="16">
        <f t="shared" si="10"/>
        <v>0.12224532224532225</v>
      </c>
      <c r="N192" s="18">
        <f t="shared" si="11"/>
        <v>0.19387755102040816</v>
      </c>
      <c r="O192" s="8">
        <f t="shared" si="12"/>
        <v>1.6514035087719297</v>
      </c>
      <c r="P192" s="14">
        <f t="shared" si="13"/>
        <v>8548.2300000000014</v>
      </c>
      <c r="Q192" s="16">
        <f t="shared" si="14"/>
        <v>90.813024540529071</v>
      </c>
    </row>
    <row r="193" spans="1:17" x14ac:dyDescent="0.2">
      <c r="A193" s="2">
        <v>45674</v>
      </c>
      <c r="B193" s="3" t="s">
        <v>261</v>
      </c>
      <c r="C193" s="3" t="s">
        <v>27</v>
      </c>
      <c r="D193" s="3" t="s">
        <v>28</v>
      </c>
      <c r="E193" s="3" t="s">
        <v>15</v>
      </c>
      <c r="F193" s="3" t="s">
        <v>34</v>
      </c>
      <c r="G193" s="3" t="s">
        <v>17</v>
      </c>
      <c r="H193" s="3">
        <v>21820</v>
      </c>
      <c r="I193" s="3">
        <v>298</v>
      </c>
      <c r="J193" s="3">
        <v>0</v>
      </c>
      <c r="K193" s="12">
        <v>273.25</v>
      </c>
      <c r="L193" s="10">
        <v>0</v>
      </c>
      <c r="M193" s="16">
        <f t="shared" si="10"/>
        <v>1.3657195233730523E-2</v>
      </c>
      <c r="N193" s="18">
        <f t="shared" si="11"/>
        <v>0</v>
      </c>
      <c r="O193" s="8">
        <f t="shared" si="12"/>
        <v>0</v>
      </c>
      <c r="P193" s="14">
        <f t="shared" si="13"/>
        <v>-273.25</v>
      </c>
      <c r="Q193" s="16">
        <f t="shared" si="14"/>
        <v>-1</v>
      </c>
    </row>
    <row r="194" spans="1:17" x14ac:dyDescent="0.2">
      <c r="A194" s="2">
        <v>45674</v>
      </c>
      <c r="B194" s="3" t="s">
        <v>415</v>
      </c>
      <c r="C194" s="3" t="s">
        <v>97</v>
      </c>
      <c r="D194" s="3" t="s">
        <v>46</v>
      </c>
      <c r="E194" s="3" t="s">
        <v>15</v>
      </c>
      <c r="F194" s="3" t="s">
        <v>29</v>
      </c>
      <c r="G194" s="3" t="s">
        <v>21</v>
      </c>
      <c r="H194" s="3">
        <v>13899</v>
      </c>
      <c r="I194" s="3">
        <v>397</v>
      </c>
      <c r="J194" s="3">
        <v>4</v>
      </c>
      <c r="K194" s="12">
        <v>570.86</v>
      </c>
      <c r="L194" s="10">
        <v>322.05</v>
      </c>
      <c r="M194" s="16">
        <f t="shared" si="10"/>
        <v>2.8563205986042162E-2</v>
      </c>
      <c r="N194" s="18">
        <f t="shared" si="11"/>
        <v>1.0075566750629723E-2</v>
      </c>
      <c r="O194" s="8">
        <f t="shared" si="12"/>
        <v>142.715</v>
      </c>
      <c r="P194" s="14">
        <f t="shared" si="13"/>
        <v>-248.81</v>
      </c>
      <c r="Q194" s="16">
        <f t="shared" si="14"/>
        <v>-0.43585117191605649</v>
      </c>
    </row>
    <row r="195" spans="1:17" x14ac:dyDescent="0.2">
      <c r="A195" s="2">
        <v>45674</v>
      </c>
      <c r="B195" s="3" t="s">
        <v>642</v>
      </c>
      <c r="C195" s="3" t="s">
        <v>19</v>
      </c>
      <c r="D195" s="3" t="s">
        <v>14</v>
      </c>
      <c r="E195" s="3" t="s">
        <v>20</v>
      </c>
      <c r="F195" s="3" t="s">
        <v>16</v>
      </c>
      <c r="G195" s="3" t="s">
        <v>17</v>
      </c>
      <c r="H195" s="3">
        <v>10936</v>
      </c>
      <c r="I195" s="3">
        <v>458</v>
      </c>
      <c r="J195" s="3">
        <v>18</v>
      </c>
      <c r="K195" s="12">
        <v>1154.45</v>
      </c>
      <c r="L195" s="10">
        <v>1159.5899999999999</v>
      </c>
      <c r="M195" s="16">
        <f t="shared" ref="M195:M258" si="15">IFERROR(I195/H195,0)</f>
        <v>4.1880029261155818E-2</v>
      </c>
      <c r="N195" s="18">
        <f t="shared" ref="N195:N258" si="16">IFERROR(J195/I195,0)</f>
        <v>3.9301310043668124E-2</v>
      </c>
      <c r="O195" s="8">
        <f t="shared" ref="O195:O258" si="17">IFERROR(K195/J195,0)</f>
        <v>64.13611111111112</v>
      </c>
      <c r="P195" s="14">
        <f t="shared" ref="P195:P258" si="18">L195-K195</f>
        <v>5.1399999999998727</v>
      </c>
      <c r="Q195" s="16">
        <f t="shared" ref="Q195:Q258" si="19">IFERROR((L195-K195)/K195,0)</f>
        <v>4.4523366105070575E-3</v>
      </c>
    </row>
    <row r="196" spans="1:17" x14ac:dyDescent="0.2">
      <c r="A196" s="2">
        <v>45674</v>
      </c>
      <c r="B196" s="3" t="s">
        <v>59</v>
      </c>
      <c r="C196" s="3" t="s">
        <v>52</v>
      </c>
      <c r="D196" s="3" t="s">
        <v>24</v>
      </c>
      <c r="E196" s="3" t="s">
        <v>20</v>
      </c>
      <c r="F196" s="3" t="s">
        <v>29</v>
      </c>
      <c r="G196" s="3" t="s">
        <v>17</v>
      </c>
      <c r="H196" s="3">
        <v>2976</v>
      </c>
      <c r="I196" s="3">
        <v>347</v>
      </c>
      <c r="J196" s="3">
        <v>26</v>
      </c>
      <c r="K196" s="12">
        <v>85.42</v>
      </c>
      <c r="L196" s="10">
        <v>3763.72</v>
      </c>
      <c r="M196" s="16">
        <f t="shared" si="15"/>
        <v>0.11659946236559139</v>
      </c>
      <c r="N196" s="18">
        <f t="shared" si="16"/>
        <v>7.492795389048991E-2</v>
      </c>
      <c r="O196" s="8">
        <f t="shared" si="17"/>
        <v>3.2853846153846153</v>
      </c>
      <c r="P196" s="14">
        <f t="shared" si="18"/>
        <v>3678.2999999999997</v>
      </c>
      <c r="Q196" s="16">
        <f t="shared" si="19"/>
        <v>43.061343947553262</v>
      </c>
    </row>
    <row r="197" spans="1:17" x14ac:dyDescent="0.2">
      <c r="A197" s="2">
        <v>45674</v>
      </c>
      <c r="B197" s="3" t="s">
        <v>643</v>
      </c>
      <c r="C197" s="3" t="s">
        <v>33</v>
      </c>
      <c r="D197" s="3" t="s">
        <v>28</v>
      </c>
      <c r="E197" s="3" t="s">
        <v>20</v>
      </c>
      <c r="F197" s="3" t="s">
        <v>29</v>
      </c>
      <c r="G197" s="3" t="s">
        <v>21</v>
      </c>
      <c r="H197" s="3">
        <v>17802</v>
      </c>
      <c r="I197" s="3">
        <v>246</v>
      </c>
      <c r="J197" s="3">
        <v>4</v>
      </c>
      <c r="K197" s="12">
        <v>360.97</v>
      </c>
      <c r="L197" s="10">
        <v>186.01</v>
      </c>
      <c r="M197" s="16">
        <f t="shared" si="15"/>
        <v>1.3818672059319177E-2</v>
      </c>
      <c r="N197" s="18">
        <f t="shared" si="16"/>
        <v>1.6260162601626018E-2</v>
      </c>
      <c r="O197" s="8">
        <f t="shared" si="17"/>
        <v>90.242500000000007</v>
      </c>
      <c r="P197" s="14">
        <f t="shared" si="18"/>
        <v>-174.96000000000004</v>
      </c>
      <c r="Q197" s="16">
        <f t="shared" si="19"/>
        <v>-0.48469401889353692</v>
      </c>
    </row>
    <row r="198" spans="1:17" x14ac:dyDescent="0.2">
      <c r="A198" s="2">
        <v>45674</v>
      </c>
      <c r="B198" s="3" t="s">
        <v>644</v>
      </c>
      <c r="C198" s="3" t="s">
        <v>156</v>
      </c>
      <c r="D198" s="3" t="s">
        <v>46</v>
      </c>
      <c r="E198" s="3" t="s">
        <v>15</v>
      </c>
      <c r="F198" s="3" t="s">
        <v>16</v>
      </c>
      <c r="G198" s="3" t="s">
        <v>17</v>
      </c>
      <c r="H198" s="3">
        <v>14894</v>
      </c>
      <c r="I198" s="3">
        <v>435</v>
      </c>
      <c r="J198" s="3">
        <v>4</v>
      </c>
      <c r="K198" s="12">
        <v>764.55</v>
      </c>
      <c r="L198" s="10">
        <v>294.13</v>
      </c>
      <c r="M198" s="16">
        <f t="shared" si="15"/>
        <v>2.9206391835638511E-2</v>
      </c>
      <c r="N198" s="18">
        <f t="shared" si="16"/>
        <v>9.1954022988505746E-3</v>
      </c>
      <c r="O198" s="8">
        <f t="shared" si="17"/>
        <v>191.13749999999999</v>
      </c>
      <c r="P198" s="14">
        <f t="shared" si="18"/>
        <v>-470.41999999999996</v>
      </c>
      <c r="Q198" s="16">
        <f t="shared" si="19"/>
        <v>-0.61529003989274733</v>
      </c>
    </row>
    <row r="199" spans="1:17" x14ac:dyDescent="0.2">
      <c r="A199" s="2">
        <v>45674</v>
      </c>
      <c r="B199" s="3" t="s">
        <v>179</v>
      </c>
      <c r="C199" s="3" t="s">
        <v>39</v>
      </c>
      <c r="D199" s="3" t="s">
        <v>28</v>
      </c>
      <c r="E199" s="3" t="s">
        <v>20</v>
      </c>
      <c r="F199" s="3" t="s">
        <v>29</v>
      </c>
      <c r="G199" s="3" t="s">
        <v>17</v>
      </c>
      <c r="H199" s="3">
        <v>21131</v>
      </c>
      <c r="I199" s="3">
        <v>646</v>
      </c>
      <c r="J199" s="3">
        <v>7</v>
      </c>
      <c r="K199" s="12">
        <v>741.71</v>
      </c>
      <c r="L199" s="10">
        <v>349.55</v>
      </c>
      <c r="M199" s="16">
        <f t="shared" si="15"/>
        <v>3.0571198712791632E-2</v>
      </c>
      <c r="N199" s="18">
        <f t="shared" si="16"/>
        <v>1.0835913312693499E-2</v>
      </c>
      <c r="O199" s="8">
        <f t="shared" si="17"/>
        <v>105.95857142857143</v>
      </c>
      <c r="P199" s="14">
        <f t="shared" si="18"/>
        <v>-392.16</v>
      </c>
      <c r="Q199" s="16">
        <f t="shared" si="19"/>
        <v>-0.52872416443084225</v>
      </c>
    </row>
    <row r="200" spans="1:17" x14ac:dyDescent="0.2">
      <c r="A200" s="2">
        <v>45674</v>
      </c>
      <c r="B200" s="3" t="s">
        <v>66</v>
      </c>
      <c r="C200" s="3" t="s">
        <v>27</v>
      </c>
      <c r="D200" s="3" t="s">
        <v>28</v>
      </c>
      <c r="E200" s="3" t="s">
        <v>15</v>
      </c>
      <c r="F200" s="3" t="s">
        <v>34</v>
      </c>
      <c r="G200" s="3" t="s">
        <v>17</v>
      </c>
      <c r="H200" s="3">
        <v>19115</v>
      </c>
      <c r="I200" s="3">
        <v>128</v>
      </c>
      <c r="J200" s="3">
        <v>1</v>
      </c>
      <c r="K200" s="12">
        <v>161</v>
      </c>
      <c r="L200" s="10">
        <v>71.849999999999994</v>
      </c>
      <c r="M200" s="16">
        <f t="shared" si="15"/>
        <v>6.6963117970180487E-3</v>
      </c>
      <c r="N200" s="18">
        <f t="shared" si="16"/>
        <v>7.8125E-3</v>
      </c>
      <c r="O200" s="8">
        <f t="shared" si="17"/>
        <v>161</v>
      </c>
      <c r="P200" s="14">
        <f t="shared" si="18"/>
        <v>-89.15</v>
      </c>
      <c r="Q200" s="16">
        <f t="shared" si="19"/>
        <v>-0.55372670807453417</v>
      </c>
    </row>
    <row r="201" spans="1:17" x14ac:dyDescent="0.2">
      <c r="A201" s="2">
        <v>45674</v>
      </c>
      <c r="B201" s="3" t="s">
        <v>212</v>
      </c>
      <c r="C201" s="3" t="s">
        <v>45</v>
      </c>
      <c r="D201" s="3" t="s">
        <v>46</v>
      </c>
      <c r="E201" s="3" t="s">
        <v>15</v>
      </c>
      <c r="F201" s="3" t="s">
        <v>47</v>
      </c>
      <c r="G201" s="3" t="s">
        <v>21</v>
      </c>
      <c r="H201" s="3">
        <v>13385</v>
      </c>
      <c r="I201" s="3">
        <v>301</v>
      </c>
      <c r="J201" s="3">
        <v>6</v>
      </c>
      <c r="K201" s="12">
        <v>373.24</v>
      </c>
      <c r="L201" s="10">
        <v>365.32</v>
      </c>
      <c r="M201" s="16">
        <f t="shared" si="15"/>
        <v>2.2487859544265968E-2</v>
      </c>
      <c r="N201" s="18">
        <f t="shared" si="16"/>
        <v>1.9933554817275746E-2</v>
      </c>
      <c r="O201" s="8">
        <f t="shared" si="17"/>
        <v>62.206666666666671</v>
      </c>
      <c r="P201" s="14">
        <f t="shared" si="18"/>
        <v>-7.9200000000000159</v>
      </c>
      <c r="Q201" s="16">
        <f t="shared" si="19"/>
        <v>-2.1219590611938743E-2</v>
      </c>
    </row>
    <row r="202" spans="1:17" x14ac:dyDescent="0.2">
      <c r="A202" s="2">
        <v>45674</v>
      </c>
      <c r="B202" s="3" t="s">
        <v>474</v>
      </c>
      <c r="C202" s="3" t="s">
        <v>13</v>
      </c>
      <c r="D202" s="3" t="s">
        <v>14</v>
      </c>
      <c r="E202" s="3" t="s">
        <v>31</v>
      </c>
      <c r="F202" s="3" t="s">
        <v>16</v>
      </c>
      <c r="G202" s="3" t="s">
        <v>17</v>
      </c>
      <c r="H202" s="3">
        <v>13503</v>
      </c>
      <c r="I202" s="3">
        <v>1041</v>
      </c>
      <c r="J202" s="3">
        <v>35</v>
      </c>
      <c r="K202" s="12">
        <v>1997.24</v>
      </c>
      <c r="L202" s="10">
        <v>2773.2</v>
      </c>
      <c r="M202" s="16">
        <f t="shared" si="15"/>
        <v>7.7093979115752054E-2</v>
      </c>
      <c r="N202" s="18">
        <f t="shared" si="16"/>
        <v>3.3621517771373677E-2</v>
      </c>
      <c r="O202" s="8">
        <f t="shared" si="17"/>
        <v>57.064</v>
      </c>
      <c r="P202" s="14">
        <f t="shared" si="18"/>
        <v>775.95999999999981</v>
      </c>
      <c r="Q202" s="16">
        <f t="shared" si="19"/>
        <v>0.38851615229016034</v>
      </c>
    </row>
    <row r="203" spans="1:17" x14ac:dyDescent="0.2">
      <c r="A203" s="2">
        <v>45675</v>
      </c>
      <c r="B203" s="3" t="s">
        <v>529</v>
      </c>
      <c r="C203" s="3" t="s">
        <v>19</v>
      </c>
      <c r="D203" s="3" t="s">
        <v>14</v>
      </c>
      <c r="E203" s="3" t="s">
        <v>20</v>
      </c>
      <c r="F203" s="3" t="s">
        <v>16</v>
      </c>
      <c r="G203" s="3" t="s">
        <v>17</v>
      </c>
      <c r="H203" s="3">
        <v>12498</v>
      </c>
      <c r="I203" s="3">
        <v>767</v>
      </c>
      <c r="J203" s="3">
        <v>20</v>
      </c>
      <c r="K203" s="12">
        <v>1964.46</v>
      </c>
      <c r="L203" s="10">
        <v>1932.03</v>
      </c>
      <c r="M203" s="16">
        <f t="shared" si="15"/>
        <v>6.1369819171067368E-2</v>
      </c>
      <c r="N203" s="18">
        <f t="shared" si="16"/>
        <v>2.607561929595828E-2</v>
      </c>
      <c r="O203" s="8">
        <f t="shared" si="17"/>
        <v>98.222999999999999</v>
      </c>
      <c r="P203" s="14">
        <f t="shared" si="18"/>
        <v>-32.430000000000064</v>
      </c>
      <c r="Q203" s="16">
        <f t="shared" si="19"/>
        <v>-1.6508353440640208E-2</v>
      </c>
    </row>
    <row r="204" spans="1:17" x14ac:dyDescent="0.2">
      <c r="A204" s="2">
        <v>45675</v>
      </c>
      <c r="B204" s="3" t="s">
        <v>80</v>
      </c>
      <c r="C204" s="3" t="s">
        <v>74</v>
      </c>
      <c r="D204" s="3" t="s">
        <v>28</v>
      </c>
      <c r="E204" s="3" t="s">
        <v>20</v>
      </c>
      <c r="F204" s="3" t="s">
        <v>16</v>
      </c>
      <c r="G204" s="3" t="s">
        <v>17</v>
      </c>
      <c r="H204" s="3">
        <v>35617</v>
      </c>
      <c r="I204" s="3">
        <v>620</v>
      </c>
      <c r="J204" s="3">
        <v>9</v>
      </c>
      <c r="K204" s="12">
        <v>570</v>
      </c>
      <c r="L204" s="10">
        <v>415.3</v>
      </c>
      <c r="M204" s="16">
        <f t="shared" si="15"/>
        <v>1.7407417806103827E-2</v>
      </c>
      <c r="N204" s="18">
        <f t="shared" si="16"/>
        <v>1.4516129032258065E-2</v>
      </c>
      <c r="O204" s="8">
        <f t="shared" si="17"/>
        <v>63.333333333333336</v>
      </c>
      <c r="P204" s="14">
        <f t="shared" si="18"/>
        <v>-154.69999999999999</v>
      </c>
      <c r="Q204" s="16">
        <f t="shared" si="19"/>
        <v>-0.27140350877192981</v>
      </c>
    </row>
    <row r="205" spans="1:17" x14ac:dyDescent="0.2">
      <c r="A205" s="2">
        <v>45675</v>
      </c>
      <c r="B205" s="3" t="s">
        <v>123</v>
      </c>
      <c r="C205" s="3" t="s">
        <v>13</v>
      </c>
      <c r="D205" s="3" t="s">
        <v>14</v>
      </c>
      <c r="E205" s="3" t="s">
        <v>20</v>
      </c>
      <c r="F205" s="3" t="s">
        <v>29</v>
      </c>
      <c r="G205" s="3" t="s">
        <v>17</v>
      </c>
      <c r="H205" s="3">
        <v>7920</v>
      </c>
      <c r="I205" s="3">
        <v>424</v>
      </c>
      <c r="J205" s="3">
        <v>13</v>
      </c>
      <c r="K205" s="12">
        <v>775.15</v>
      </c>
      <c r="L205" s="10">
        <v>1438</v>
      </c>
      <c r="M205" s="16">
        <f t="shared" si="15"/>
        <v>5.3535353535353533E-2</v>
      </c>
      <c r="N205" s="18">
        <f t="shared" si="16"/>
        <v>3.0660377358490566E-2</v>
      </c>
      <c r="O205" s="8">
        <f t="shared" si="17"/>
        <v>59.626923076923077</v>
      </c>
      <c r="P205" s="14">
        <f t="shared" si="18"/>
        <v>662.85</v>
      </c>
      <c r="Q205" s="16">
        <f t="shared" si="19"/>
        <v>0.85512481455202227</v>
      </c>
    </row>
    <row r="206" spans="1:17" x14ac:dyDescent="0.2">
      <c r="A206" s="2">
        <v>45675</v>
      </c>
      <c r="B206" s="3" t="s">
        <v>458</v>
      </c>
      <c r="C206" s="3" t="s">
        <v>110</v>
      </c>
      <c r="D206" s="3" t="s">
        <v>24</v>
      </c>
      <c r="E206" s="3" t="s">
        <v>31</v>
      </c>
      <c r="F206" s="3" t="s">
        <v>16</v>
      </c>
      <c r="G206" s="3" t="s">
        <v>25</v>
      </c>
      <c r="H206" s="3">
        <v>3616</v>
      </c>
      <c r="I206" s="3">
        <v>536</v>
      </c>
      <c r="J206" s="3">
        <v>132</v>
      </c>
      <c r="K206" s="12">
        <v>139.78</v>
      </c>
      <c r="L206" s="10">
        <v>12053.44</v>
      </c>
      <c r="M206" s="16">
        <f t="shared" si="15"/>
        <v>0.14823008849557523</v>
      </c>
      <c r="N206" s="18">
        <f t="shared" si="16"/>
        <v>0.2462686567164179</v>
      </c>
      <c r="O206" s="8">
        <f t="shared" si="17"/>
        <v>1.0589393939393938</v>
      </c>
      <c r="P206" s="14">
        <f t="shared" si="18"/>
        <v>11913.66</v>
      </c>
      <c r="Q206" s="16">
        <f t="shared" si="19"/>
        <v>85.231506653312351</v>
      </c>
    </row>
    <row r="207" spans="1:17" x14ac:dyDescent="0.2">
      <c r="A207" s="2">
        <v>45675</v>
      </c>
      <c r="B207" s="3" t="s">
        <v>645</v>
      </c>
      <c r="C207" s="3" t="s">
        <v>36</v>
      </c>
      <c r="D207" s="3" t="s">
        <v>37</v>
      </c>
      <c r="E207" s="3" t="s">
        <v>31</v>
      </c>
      <c r="F207" s="3" t="s">
        <v>47</v>
      </c>
      <c r="G207" s="3" t="s">
        <v>21</v>
      </c>
      <c r="H207" s="3">
        <v>2421</v>
      </c>
      <c r="I207" s="3">
        <v>48</v>
      </c>
      <c r="J207" s="3">
        <v>1</v>
      </c>
      <c r="K207" s="12">
        <v>280.14</v>
      </c>
      <c r="L207" s="10">
        <v>159.29</v>
      </c>
      <c r="M207" s="16">
        <f t="shared" si="15"/>
        <v>1.9826517967781909E-2</v>
      </c>
      <c r="N207" s="18">
        <f t="shared" si="16"/>
        <v>2.0833333333333332E-2</v>
      </c>
      <c r="O207" s="8">
        <f t="shared" si="17"/>
        <v>280.14</v>
      </c>
      <c r="P207" s="14">
        <f t="shared" si="18"/>
        <v>-120.85</v>
      </c>
      <c r="Q207" s="16">
        <f t="shared" si="19"/>
        <v>-0.43139144713357608</v>
      </c>
    </row>
    <row r="208" spans="1:17" x14ac:dyDescent="0.2">
      <c r="A208" s="2">
        <v>45675</v>
      </c>
      <c r="B208" s="3" t="s">
        <v>439</v>
      </c>
      <c r="C208" s="3" t="s">
        <v>41</v>
      </c>
      <c r="D208" s="3" t="s">
        <v>24</v>
      </c>
      <c r="E208" s="3" t="s">
        <v>31</v>
      </c>
      <c r="F208" s="3" t="s">
        <v>16</v>
      </c>
      <c r="G208" s="3" t="s">
        <v>17</v>
      </c>
      <c r="H208" s="3">
        <v>4148</v>
      </c>
      <c r="I208" s="3">
        <v>551</v>
      </c>
      <c r="J208" s="3">
        <v>78</v>
      </c>
      <c r="K208" s="12">
        <v>190.78</v>
      </c>
      <c r="L208" s="10">
        <v>7885.23</v>
      </c>
      <c r="M208" s="16">
        <f t="shared" si="15"/>
        <v>0.13283510125361619</v>
      </c>
      <c r="N208" s="18">
        <f t="shared" si="16"/>
        <v>0.14156079854809436</v>
      </c>
      <c r="O208" s="8">
        <f t="shared" si="17"/>
        <v>2.4458974358974359</v>
      </c>
      <c r="P208" s="14">
        <f t="shared" si="18"/>
        <v>7694.45</v>
      </c>
      <c r="Q208" s="16">
        <f t="shared" si="19"/>
        <v>40.331533703742529</v>
      </c>
    </row>
    <row r="209" spans="1:17" x14ac:dyDescent="0.2">
      <c r="A209" s="2">
        <v>45675</v>
      </c>
      <c r="B209" s="3" t="s">
        <v>646</v>
      </c>
      <c r="C209" s="3" t="s">
        <v>156</v>
      </c>
      <c r="D209" s="3" t="s">
        <v>46</v>
      </c>
      <c r="E209" s="3" t="s">
        <v>20</v>
      </c>
      <c r="F209" s="3" t="s">
        <v>47</v>
      </c>
      <c r="G209" s="3" t="s">
        <v>21</v>
      </c>
      <c r="H209" s="3">
        <v>14343</v>
      </c>
      <c r="I209" s="3">
        <v>555</v>
      </c>
      <c r="J209" s="3">
        <v>19</v>
      </c>
      <c r="K209" s="12">
        <v>577.94000000000005</v>
      </c>
      <c r="L209" s="10">
        <v>1524.47</v>
      </c>
      <c r="M209" s="16">
        <f t="shared" si="15"/>
        <v>3.8694833716795649E-2</v>
      </c>
      <c r="N209" s="18">
        <f t="shared" si="16"/>
        <v>3.4234234234234232E-2</v>
      </c>
      <c r="O209" s="8">
        <f t="shared" si="17"/>
        <v>30.417894736842108</v>
      </c>
      <c r="P209" s="14">
        <f t="shared" si="18"/>
        <v>946.53</v>
      </c>
      <c r="Q209" s="16">
        <f t="shared" si="19"/>
        <v>1.6377651659341799</v>
      </c>
    </row>
    <row r="210" spans="1:17" x14ac:dyDescent="0.2">
      <c r="A210" s="2">
        <v>45675</v>
      </c>
      <c r="B210" s="3" t="s">
        <v>647</v>
      </c>
      <c r="C210" s="3" t="s">
        <v>97</v>
      </c>
      <c r="D210" s="3" t="s">
        <v>46</v>
      </c>
      <c r="E210" s="3" t="s">
        <v>31</v>
      </c>
      <c r="F210" s="3" t="s">
        <v>50</v>
      </c>
      <c r="G210" s="3" t="s">
        <v>17</v>
      </c>
      <c r="H210" s="3">
        <v>13790</v>
      </c>
      <c r="I210" s="3">
        <v>634</v>
      </c>
      <c r="J210" s="3">
        <v>23</v>
      </c>
      <c r="K210" s="12">
        <v>715.87</v>
      </c>
      <c r="L210" s="10">
        <v>2333.0300000000002</v>
      </c>
      <c r="M210" s="16">
        <f t="shared" si="15"/>
        <v>4.5975344452501815E-2</v>
      </c>
      <c r="N210" s="18">
        <f t="shared" si="16"/>
        <v>3.6277602523659309E-2</v>
      </c>
      <c r="O210" s="8">
        <f t="shared" si="17"/>
        <v>31.124782608695654</v>
      </c>
      <c r="P210" s="14">
        <f t="shared" si="18"/>
        <v>1617.1600000000003</v>
      </c>
      <c r="Q210" s="16">
        <f t="shared" si="19"/>
        <v>2.2590135080391693</v>
      </c>
    </row>
    <row r="211" spans="1:17" x14ac:dyDescent="0.2">
      <c r="A211" s="2">
        <v>45675</v>
      </c>
      <c r="B211" s="3" t="s">
        <v>424</v>
      </c>
      <c r="C211" s="3" t="s">
        <v>54</v>
      </c>
      <c r="D211" s="3" t="s">
        <v>14</v>
      </c>
      <c r="E211" s="3" t="s">
        <v>31</v>
      </c>
      <c r="F211" s="3" t="s">
        <v>29</v>
      </c>
      <c r="G211" s="3" t="s">
        <v>17</v>
      </c>
      <c r="H211" s="3">
        <v>10550</v>
      </c>
      <c r="I211" s="3">
        <v>506</v>
      </c>
      <c r="J211" s="3">
        <v>25</v>
      </c>
      <c r="K211" s="12">
        <v>1137.77</v>
      </c>
      <c r="L211" s="10">
        <v>2688.05</v>
      </c>
      <c r="M211" s="16">
        <f t="shared" si="15"/>
        <v>4.7962085308056873E-2</v>
      </c>
      <c r="N211" s="18">
        <f t="shared" si="16"/>
        <v>4.9407114624505928E-2</v>
      </c>
      <c r="O211" s="8">
        <f t="shared" si="17"/>
        <v>45.510799999999996</v>
      </c>
      <c r="P211" s="14">
        <f t="shared" si="18"/>
        <v>1550.2800000000002</v>
      </c>
      <c r="Q211" s="16">
        <f t="shared" si="19"/>
        <v>1.3625600956256538</v>
      </c>
    </row>
    <row r="212" spans="1:17" x14ac:dyDescent="0.2">
      <c r="A212" s="2">
        <v>45675</v>
      </c>
      <c r="B212" s="3" t="s">
        <v>152</v>
      </c>
      <c r="C212" s="3" t="s">
        <v>156</v>
      </c>
      <c r="D212" s="3" t="s">
        <v>46</v>
      </c>
      <c r="E212" s="3" t="s">
        <v>20</v>
      </c>
      <c r="F212" s="3" t="s">
        <v>34</v>
      </c>
      <c r="G212" s="3" t="s">
        <v>25</v>
      </c>
      <c r="H212" s="3">
        <v>9805</v>
      </c>
      <c r="I212" s="3">
        <v>200</v>
      </c>
      <c r="J212" s="3">
        <v>7</v>
      </c>
      <c r="K212" s="12">
        <v>0</v>
      </c>
      <c r="L212" s="10">
        <v>360.95</v>
      </c>
      <c r="M212" s="16">
        <f t="shared" si="15"/>
        <v>2.0397756246812851E-2</v>
      </c>
      <c r="N212" s="18">
        <f t="shared" si="16"/>
        <v>3.5000000000000003E-2</v>
      </c>
      <c r="O212" s="8">
        <f t="shared" si="17"/>
        <v>0</v>
      </c>
      <c r="P212" s="14">
        <f t="shared" si="18"/>
        <v>360.95</v>
      </c>
      <c r="Q212" s="16">
        <f t="shared" si="19"/>
        <v>0</v>
      </c>
    </row>
    <row r="213" spans="1:17" x14ac:dyDescent="0.2">
      <c r="A213" s="2">
        <v>45675</v>
      </c>
      <c r="B213" s="3" t="s">
        <v>455</v>
      </c>
      <c r="C213" s="3" t="s">
        <v>13</v>
      </c>
      <c r="D213" s="3" t="s">
        <v>14</v>
      </c>
      <c r="E213" s="3" t="s">
        <v>20</v>
      </c>
      <c r="F213" s="3" t="s">
        <v>29</v>
      </c>
      <c r="G213" s="3" t="s">
        <v>17</v>
      </c>
      <c r="H213" s="3">
        <v>8364</v>
      </c>
      <c r="I213" s="3">
        <v>323</v>
      </c>
      <c r="J213" s="3">
        <v>8</v>
      </c>
      <c r="K213" s="12">
        <v>853.36</v>
      </c>
      <c r="L213" s="10">
        <v>945.5</v>
      </c>
      <c r="M213" s="16">
        <f t="shared" si="15"/>
        <v>3.8617886178861791E-2</v>
      </c>
      <c r="N213" s="18">
        <f t="shared" si="16"/>
        <v>2.4767801857585141E-2</v>
      </c>
      <c r="O213" s="8">
        <f t="shared" si="17"/>
        <v>106.67</v>
      </c>
      <c r="P213" s="14">
        <f t="shared" si="18"/>
        <v>92.139999999999986</v>
      </c>
      <c r="Q213" s="16">
        <f t="shared" si="19"/>
        <v>0.10797318833786443</v>
      </c>
    </row>
    <row r="214" spans="1:17" x14ac:dyDescent="0.2">
      <c r="A214" s="2">
        <v>45676</v>
      </c>
      <c r="B214" s="3" t="s">
        <v>648</v>
      </c>
      <c r="C214" s="3" t="s">
        <v>27</v>
      </c>
      <c r="D214" s="3" t="s">
        <v>28</v>
      </c>
      <c r="E214" s="3" t="s">
        <v>20</v>
      </c>
      <c r="F214" s="3" t="s">
        <v>47</v>
      </c>
      <c r="G214" s="3" t="s">
        <v>21</v>
      </c>
      <c r="H214" s="3">
        <v>23873</v>
      </c>
      <c r="I214" s="3">
        <v>550</v>
      </c>
      <c r="J214" s="3">
        <v>10</v>
      </c>
      <c r="K214" s="12">
        <v>481.96</v>
      </c>
      <c r="L214" s="10">
        <v>695.25</v>
      </c>
      <c r="M214" s="16">
        <f t="shared" si="15"/>
        <v>2.3038579147991456E-2</v>
      </c>
      <c r="N214" s="18">
        <f t="shared" si="16"/>
        <v>1.8181818181818181E-2</v>
      </c>
      <c r="O214" s="8">
        <f t="shared" si="17"/>
        <v>48.195999999999998</v>
      </c>
      <c r="P214" s="14">
        <f t="shared" si="18"/>
        <v>213.29000000000002</v>
      </c>
      <c r="Q214" s="16">
        <f t="shared" si="19"/>
        <v>0.442547099344344</v>
      </c>
    </row>
    <row r="215" spans="1:17" x14ac:dyDescent="0.2">
      <c r="A215" s="2">
        <v>45676</v>
      </c>
      <c r="B215" s="3" t="s">
        <v>221</v>
      </c>
      <c r="C215" s="3" t="s">
        <v>120</v>
      </c>
      <c r="D215" s="3" t="s">
        <v>14</v>
      </c>
      <c r="E215" s="3" t="s">
        <v>31</v>
      </c>
      <c r="F215" s="3" t="s">
        <v>34</v>
      </c>
      <c r="G215" s="3" t="s">
        <v>17</v>
      </c>
      <c r="H215" s="3">
        <v>9013</v>
      </c>
      <c r="I215" s="3">
        <v>425</v>
      </c>
      <c r="J215" s="3">
        <v>24</v>
      </c>
      <c r="K215" s="12">
        <v>708.79</v>
      </c>
      <c r="L215" s="10">
        <v>2991.69</v>
      </c>
      <c r="M215" s="16">
        <f t="shared" si="15"/>
        <v>4.7154110728947075E-2</v>
      </c>
      <c r="N215" s="18">
        <f t="shared" si="16"/>
        <v>5.647058823529412E-2</v>
      </c>
      <c r="O215" s="8">
        <f t="shared" si="17"/>
        <v>29.532916666666665</v>
      </c>
      <c r="P215" s="14">
        <f t="shared" si="18"/>
        <v>2282.9</v>
      </c>
      <c r="Q215" s="16">
        <f t="shared" si="19"/>
        <v>3.2208411518221198</v>
      </c>
    </row>
    <row r="216" spans="1:17" x14ac:dyDescent="0.2">
      <c r="A216" s="2">
        <v>45676</v>
      </c>
      <c r="B216" s="3" t="s">
        <v>435</v>
      </c>
      <c r="C216" s="3" t="s">
        <v>97</v>
      </c>
      <c r="D216" s="3" t="s">
        <v>46</v>
      </c>
      <c r="E216" s="3" t="s">
        <v>20</v>
      </c>
      <c r="F216" s="3" t="s">
        <v>47</v>
      </c>
      <c r="G216" s="3" t="s">
        <v>17</v>
      </c>
      <c r="H216" s="3">
        <v>18479</v>
      </c>
      <c r="I216" s="3">
        <v>723</v>
      </c>
      <c r="J216" s="3">
        <v>7</v>
      </c>
      <c r="K216" s="12">
        <v>964.36</v>
      </c>
      <c r="L216" s="10">
        <v>558.85</v>
      </c>
      <c r="M216" s="16">
        <f t="shared" si="15"/>
        <v>3.9125493803777257E-2</v>
      </c>
      <c r="N216" s="18">
        <f t="shared" si="16"/>
        <v>9.6818810511756573E-3</v>
      </c>
      <c r="O216" s="8">
        <f t="shared" si="17"/>
        <v>137.7657142857143</v>
      </c>
      <c r="P216" s="14">
        <f t="shared" si="18"/>
        <v>-405.51</v>
      </c>
      <c r="Q216" s="16">
        <f t="shared" si="19"/>
        <v>-0.42049649508482306</v>
      </c>
    </row>
    <row r="217" spans="1:17" x14ac:dyDescent="0.2">
      <c r="A217" s="2">
        <v>45676</v>
      </c>
      <c r="B217" s="3" t="s">
        <v>649</v>
      </c>
      <c r="C217" s="3" t="s">
        <v>52</v>
      </c>
      <c r="D217" s="3" t="s">
        <v>24</v>
      </c>
      <c r="E217" s="3" t="s">
        <v>20</v>
      </c>
      <c r="F217" s="3" t="s">
        <v>34</v>
      </c>
      <c r="G217" s="3" t="s">
        <v>21</v>
      </c>
      <c r="H217" s="3">
        <v>3828</v>
      </c>
      <c r="I217" s="3">
        <v>539</v>
      </c>
      <c r="J217" s="3">
        <v>89</v>
      </c>
      <c r="K217" s="12">
        <v>196.39</v>
      </c>
      <c r="L217" s="10">
        <v>13924.96</v>
      </c>
      <c r="M217" s="16">
        <f t="shared" si="15"/>
        <v>0.14080459770114942</v>
      </c>
      <c r="N217" s="18">
        <f t="shared" si="16"/>
        <v>0.16512059369202226</v>
      </c>
      <c r="O217" s="8">
        <f t="shared" si="17"/>
        <v>2.2066292134831458</v>
      </c>
      <c r="P217" s="14">
        <f t="shared" si="18"/>
        <v>13728.57</v>
      </c>
      <c r="Q217" s="16">
        <f t="shared" si="19"/>
        <v>69.904628545241621</v>
      </c>
    </row>
    <row r="218" spans="1:17" x14ac:dyDescent="0.2">
      <c r="A218" s="2">
        <v>45676</v>
      </c>
      <c r="B218" s="3" t="s">
        <v>121</v>
      </c>
      <c r="C218" s="3" t="s">
        <v>54</v>
      </c>
      <c r="D218" s="3" t="s">
        <v>14</v>
      </c>
      <c r="E218" s="3" t="s">
        <v>31</v>
      </c>
      <c r="F218" s="3" t="s">
        <v>34</v>
      </c>
      <c r="G218" s="3" t="s">
        <v>17</v>
      </c>
      <c r="H218" s="3">
        <v>13391</v>
      </c>
      <c r="I218" s="3">
        <v>977</v>
      </c>
      <c r="J218" s="3">
        <v>47</v>
      </c>
      <c r="K218" s="12">
        <v>1503.67</v>
      </c>
      <c r="L218" s="10">
        <v>5197.53</v>
      </c>
      <c r="M218" s="16">
        <f t="shared" si="15"/>
        <v>7.2959450377118956E-2</v>
      </c>
      <c r="N218" s="18">
        <f t="shared" si="16"/>
        <v>4.8106448311156604E-2</v>
      </c>
      <c r="O218" s="8">
        <f t="shared" si="17"/>
        <v>31.992978723404256</v>
      </c>
      <c r="P218" s="14">
        <f t="shared" si="18"/>
        <v>3693.8599999999997</v>
      </c>
      <c r="Q218" s="16">
        <f t="shared" si="19"/>
        <v>2.4565629426669413</v>
      </c>
    </row>
    <row r="219" spans="1:17" x14ac:dyDescent="0.2">
      <c r="A219" s="2">
        <v>45676</v>
      </c>
      <c r="B219" s="3" t="s">
        <v>650</v>
      </c>
      <c r="C219" s="3" t="s">
        <v>23</v>
      </c>
      <c r="D219" s="3" t="s">
        <v>24</v>
      </c>
      <c r="E219" s="3" t="s">
        <v>15</v>
      </c>
      <c r="F219" s="3" t="s">
        <v>47</v>
      </c>
      <c r="G219" s="3" t="s">
        <v>17</v>
      </c>
      <c r="H219" s="3">
        <v>2624</v>
      </c>
      <c r="I219" s="3">
        <v>269</v>
      </c>
      <c r="J219" s="3">
        <v>23</v>
      </c>
      <c r="K219" s="12">
        <v>64.989999999999995</v>
      </c>
      <c r="L219" s="10">
        <v>2417.33</v>
      </c>
      <c r="M219" s="16">
        <f t="shared" si="15"/>
        <v>0.10251524390243902</v>
      </c>
      <c r="N219" s="18">
        <f t="shared" si="16"/>
        <v>8.5501858736059477E-2</v>
      </c>
      <c r="O219" s="8">
        <f t="shared" si="17"/>
        <v>2.8256521739130434</v>
      </c>
      <c r="P219" s="14">
        <f t="shared" si="18"/>
        <v>2352.34</v>
      </c>
      <c r="Q219" s="16">
        <f t="shared" si="19"/>
        <v>36.195414679181418</v>
      </c>
    </row>
    <row r="220" spans="1:17" x14ac:dyDescent="0.2">
      <c r="A220" s="2">
        <v>45676</v>
      </c>
      <c r="B220" s="3" t="s">
        <v>328</v>
      </c>
      <c r="C220" s="3" t="s">
        <v>58</v>
      </c>
      <c r="D220" s="3" t="s">
        <v>37</v>
      </c>
      <c r="E220" s="3" t="s">
        <v>31</v>
      </c>
      <c r="F220" s="3" t="s">
        <v>16</v>
      </c>
      <c r="G220" s="3" t="s">
        <v>17</v>
      </c>
      <c r="H220" s="3">
        <v>4968</v>
      </c>
      <c r="I220" s="3">
        <v>129</v>
      </c>
      <c r="J220" s="3">
        <v>2</v>
      </c>
      <c r="K220" s="12">
        <v>522.33000000000004</v>
      </c>
      <c r="L220" s="10">
        <v>374.39</v>
      </c>
      <c r="M220" s="16">
        <f t="shared" si="15"/>
        <v>2.5966183574879228E-2</v>
      </c>
      <c r="N220" s="18">
        <f t="shared" si="16"/>
        <v>1.5503875968992248E-2</v>
      </c>
      <c r="O220" s="8">
        <f t="shared" si="17"/>
        <v>261.16500000000002</v>
      </c>
      <c r="P220" s="14">
        <f t="shared" si="18"/>
        <v>-147.94000000000005</v>
      </c>
      <c r="Q220" s="16">
        <f t="shared" si="19"/>
        <v>-0.28323090766373754</v>
      </c>
    </row>
    <row r="221" spans="1:17" x14ac:dyDescent="0.2">
      <c r="A221" s="2">
        <v>45676</v>
      </c>
      <c r="B221" s="3" t="s">
        <v>238</v>
      </c>
      <c r="C221" s="3" t="s">
        <v>49</v>
      </c>
      <c r="D221" s="3" t="s">
        <v>46</v>
      </c>
      <c r="E221" s="3" t="s">
        <v>20</v>
      </c>
      <c r="F221" s="3" t="s">
        <v>34</v>
      </c>
      <c r="G221" s="3" t="s">
        <v>25</v>
      </c>
      <c r="H221" s="3">
        <v>14415</v>
      </c>
      <c r="I221" s="3">
        <v>675</v>
      </c>
      <c r="J221" s="3">
        <v>10</v>
      </c>
      <c r="K221" s="12">
        <v>834.76</v>
      </c>
      <c r="L221" s="10">
        <v>951.49</v>
      </c>
      <c r="M221" s="16">
        <f t="shared" si="15"/>
        <v>4.6826222684703434E-2</v>
      </c>
      <c r="N221" s="18">
        <f t="shared" si="16"/>
        <v>1.4814814814814815E-2</v>
      </c>
      <c r="O221" s="8">
        <f t="shared" si="17"/>
        <v>83.475999999999999</v>
      </c>
      <c r="P221" s="14">
        <f t="shared" si="18"/>
        <v>116.73000000000002</v>
      </c>
      <c r="Q221" s="16">
        <f t="shared" si="19"/>
        <v>0.13983659974124302</v>
      </c>
    </row>
    <row r="222" spans="1:17" x14ac:dyDescent="0.2">
      <c r="A222" s="2">
        <v>45676</v>
      </c>
      <c r="B222" s="3" t="s">
        <v>438</v>
      </c>
      <c r="C222" s="3" t="s">
        <v>23</v>
      </c>
      <c r="D222" s="3" t="s">
        <v>24</v>
      </c>
      <c r="E222" s="3" t="s">
        <v>20</v>
      </c>
      <c r="F222" s="3" t="s">
        <v>16</v>
      </c>
      <c r="G222" s="3" t="s">
        <v>21</v>
      </c>
      <c r="H222" s="3">
        <v>4306</v>
      </c>
      <c r="I222" s="3">
        <v>520</v>
      </c>
      <c r="J222" s="3">
        <v>80</v>
      </c>
      <c r="K222" s="12">
        <v>149.03</v>
      </c>
      <c r="L222" s="10">
        <v>6988.49</v>
      </c>
      <c r="M222" s="16">
        <f t="shared" si="15"/>
        <v>0.12076172782164422</v>
      </c>
      <c r="N222" s="18">
        <f t="shared" si="16"/>
        <v>0.15384615384615385</v>
      </c>
      <c r="O222" s="8">
        <f t="shared" si="17"/>
        <v>1.8628750000000001</v>
      </c>
      <c r="P222" s="14">
        <f t="shared" si="18"/>
        <v>6839.46</v>
      </c>
      <c r="Q222" s="16">
        <f t="shared" si="19"/>
        <v>45.893175870630074</v>
      </c>
    </row>
    <row r="223" spans="1:17" x14ac:dyDescent="0.2">
      <c r="A223" s="2">
        <v>45676</v>
      </c>
      <c r="B223" s="3" t="s">
        <v>651</v>
      </c>
      <c r="C223" s="3" t="s">
        <v>43</v>
      </c>
      <c r="D223" s="3" t="s">
        <v>37</v>
      </c>
      <c r="E223" s="3" t="s">
        <v>15</v>
      </c>
      <c r="F223" s="3" t="s">
        <v>47</v>
      </c>
      <c r="G223" s="3" t="s">
        <v>17</v>
      </c>
      <c r="H223" s="3">
        <v>4405</v>
      </c>
      <c r="I223" s="3">
        <v>111</v>
      </c>
      <c r="J223" s="3">
        <v>1</v>
      </c>
      <c r="K223" s="12">
        <v>692.1</v>
      </c>
      <c r="L223" s="10">
        <v>38.380000000000003</v>
      </c>
      <c r="M223" s="16">
        <f t="shared" si="15"/>
        <v>2.5198637911464244E-2</v>
      </c>
      <c r="N223" s="18">
        <f t="shared" si="16"/>
        <v>9.0090090090090089E-3</v>
      </c>
      <c r="O223" s="8">
        <f t="shared" si="17"/>
        <v>692.1</v>
      </c>
      <c r="P223" s="14">
        <f t="shared" si="18"/>
        <v>-653.72</v>
      </c>
      <c r="Q223" s="16">
        <f t="shared" si="19"/>
        <v>-0.94454558589799165</v>
      </c>
    </row>
    <row r="224" spans="1:17" x14ac:dyDescent="0.2">
      <c r="A224" s="2">
        <v>45676</v>
      </c>
      <c r="B224" s="3" t="s">
        <v>271</v>
      </c>
      <c r="C224" s="3" t="s">
        <v>33</v>
      </c>
      <c r="D224" s="3" t="s">
        <v>28</v>
      </c>
      <c r="E224" s="3" t="s">
        <v>31</v>
      </c>
      <c r="F224" s="3" t="s">
        <v>34</v>
      </c>
      <c r="G224" s="3" t="s">
        <v>17</v>
      </c>
      <c r="H224" s="3">
        <v>20200</v>
      </c>
      <c r="I224" s="3">
        <v>540</v>
      </c>
      <c r="J224" s="3">
        <v>7</v>
      </c>
      <c r="K224" s="12">
        <v>678.67</v>
      </c>
      <c r="L224" s="10">
        <v>403.23</v>
      </c>
      <c r="M224" s="16">
        <f t="shared" si="15"/>
        <v>2.6732673267326732E-2</v>
      </c>
      <c r="N224" s="18">
        <f t="shared" si="16"/>
        <v>1.2962962962962963E-2</v>
      </c>
      <c r="O224" s="8">
        <f t="shared" si="17"/>
        <v>96.952857142857141</v>
      </c>
      <c r="P224" s="14">
        <f t="shared" si="18"/>
        <v>-275.43999999999994</v>
      </c>
      <c r="Q224" s="16">
        <f t="shared" si="19"/>
        <v>-0.40585262351363688</v>
      </c>
    </row>
    <row r="225" spans="1:17" x14ac:dyDescent="0.2">
      <c r="A225" s="2">
        <v>45677</v>
      </c>
      <c r="B225" s="3" t="s">
        <v>379</v>
      </c>
      <c r="C225" s="3" t="s">
        <v>110</v>
      </c>
      <c r="D225" s="3" t="s">
        <v>24</v>
      </c>
      <c r="E225" s="3" t="s">
        <v>20</v>
      </c>
      <c r="F225" s="3" t="s">
        <v>34</v>
      </c>
      <c r="G225" s="3" t="s">
        <v>21</v>
      </c>
      <c r="H225" s="3">
        <v>4169</v>
      </c>
      <c r="I225" s="3">
        <v>528</v>
      </c>
      <c r="J225" s="3">
        <v>86</v>
      </c>
      <c r="K225" s="12">
        <v>183.97</v>
      </c>
      <c r="L225" s="10">
        <v>9103.94</v>
      </c>
      <c r="M225" s="16">
        <f t="shared" si="15"/>
        <v>0.12664907651715041</v>
      </c>
      <c r="N225" s="18">
        <f t="shared" si="16"/>
        <v>0.16287878787878787</v>
      </c>
      <c r="O225" s="8">
        <f t="shared" si="17"/>
        <v>2.1391860465116279</v>
      </c>
      <c r="P225" s="14">
        <f t="shared" si="18"/>
        <v>8919.9700000000012</v>
      </c>
      <c r="Q225" s="16">
        <f t="shared" si="19"/>
        <v>48.486003152687942</v>
      </c>
    </row>
    <row r="226" spans="1:17" x14ac:dyDescent="0.2">
      <c r="A226" s="2">
        <v>45677</v>
      </c>
      <c r="B226" s="3" t="s">
        <v>430</v>
      </c>
      <c r="C226" s="3" t="s">
        <v>27</v>
      </c>
      <c r="D226" s="3" t="s">
        <v>28</v>
      </c>
      <c r="E226" s="3" t="s">
        <v>15</v>
      </c>
      <c r="F226" s="3" t="s">
        <v>16</v>
      </c>
      <c r="G226" s="3" t="s">
        <v>21</v>
      </c>
      <c r="H226" s="3">
        <v>33853</v>
      </c>
      <c r="I226" s="3">
        <v>453</v>
      </c>
      <c r="J226" s="3">
        <v>5</v>
      </c>
      <c r="K226" s="12">
        <v>372.86</v>
      </c>
      <c r="L226" s="10">
        <v>72.02</v>
      </c>
      <c r="M226" s="16">
        <f t="shared" si="15"/>
        <v>1.3381384220010043E-2</v>
      </c>
      <c r="N226" s="18">
        <f t="shared" si="16"/>
        <v>1.1037527593818985E-2</v>
      </c>
      <c r="O226" s="8">
        <f t="shared" si="17"/>
        <v>74.572000000000003</v>
      </c>
      <c r="P226" s="14">
        <f t="shared" si="18"/>
        <v>-300.84000000000003</v>
      </c>
      <c r="Q226" s="16">
        <f t="shared" si="19"/>
        <v>-0.8068443919969962</v>
      </c>
    </row>
    <row r="227" spans="1:17" x14ac:dyDescent="0.2">
      <c r="A227" s="2">
        <v>45677</v>
      </c>
      <c r="B227" s="3" t="s">
        <v>652</v>
      </c>
      <c r="C227" s="3" t="s">
        <v>43</v>
      </c>
      <c r="D227" s="3" t="s">
        <v>37</v>
      </c>
      <c r="E227" s="3" t="s">
        <v>20</v>
      </c>
      <c r="F227" s="3" t="s">
        <v>47</v>
      </c>
      <c r="G227" s="3" t="s">
        <v>17</v>
      </c>
      <c r="H227" s="3">
        <v>3358</v>
      </c>
      <c r="I227" s="3">
        <v>103</v>
      </c>
      <c r="J227" s="3">
        <v>1</v>
      </c>
      <c r="K227" s="12">
        <v>787.1</v>
      </c>
      <c r="L227" s="10">
        <v>176.9</v>
      </c>
      <c r="M227" s="16">
        <f t="shared" si="15"/>
        <v>3.0673019654556283E-2</v>
      </c>
      <c r="N227" s="18">
        <f t="shared" si="16"/>
        <v>9.7087378640776691E-3</v>
      </c>
      <c r="O227" s="8">
        <f t="shared" si="17"/>
        <v>787.1</v>
      </c>
      <c r="P227" s="14">
        <f t="shared" si="18"/>
        <v>-610.20000000000005</v>
      </c>
      <c r="Q227" s="16">
        <f t="shared" si="19"/>
        <v>-0.77525092110278238</v>
      </c>
    </row>
    <row r="228" spans="1:17" x14ac:dyDescent="0.2">
      <c r="A228" s="2">
        <v>45677</v>
      </c>
      <c r="B228" s="3" t="s">
        <v>231</v>
      </c>
      <c r="C228" s="3" t="s">
        <v>97</v>
      </c>
      <c r="D228" s="3" t="s">
        <v>46</v>
      </c>
      <c r="E228" s="3" t="s">
        <v>20</v>
      </c>
      <c r="F228" s="3" t="s">
        <v>34</v>
      </c>
      <c r="G228" s="3" t="s">
        <v>17</v>
      </c>
      <c r="H228" s="3">
        <v>14438</v>
      </c>
      <c r="I228" s="3">
        <v>567</v>
      </c>
      <c r="J228" s="3">
        <v>13</v>
      </c>
      <c r="K228" s="12">
        <v>858.75</v>
      </c>
      <c r="L228" s="10">
        <v>1220.8</v>
      </c>
      <c r="M228" s="16">
        <f t="shared" si="15"/>
        <v>3.9271367225377475E-2</v>
      </c>
      <c r="N228" s="18">
        <f t="shared" si="16"/>
        <v>2.292768959435626E-2</v>
      </c>
      <c r="O228" s="8">
        <f t="shared" si="17"/>
        <v>66.057692307692307</v>
      </c>
      <c r="P228" s="14">
        <f t="shared" si="18"/>
        <v>362.04999999999995</v>
      </c>
      <c r="Q228" s="16">
        <f t="shared" si="19"/>
        <v>0.42160116448326052</v>
      </c>
    </row>
    <row r="229" spans="1:17" x14ac:dyDescent="0.2">
      <c r="A229" s="2">
        <v>45677</v>
      </c>
      <c r="B229" s="3" t="s">
        <v>243</v>
      </c>
      <c r="C229" s="3" t="s">
        <v>23</v>
      </c>
      <c r="D229" s="3" t="s">
        <v>24</v>
      </c>
      <c r="E229" s="3" t="s">
        <v>20</v>
      </c>
      <c r="F229" s="3" t="s">
        <v>29</v>
      </c>
      <c r="G229" s="3" t="s">
        <v>21</v>
      </c>
      <c r="H229" s="3">
        <v>4888</v>
      </c>
      <c r="I229" s="3">
        <v>559</v>
      </c>
      <c r="J229" s="3">
        <v>76</v>
      </c>
      <c r="K229" s="12">
        <v>168.99</v>
      </c>
      <c r="L229" s="10">
        <v>8570.9599999999991</v>
      </c>
      <c r="M229" s="16">
        <f t="shared" si="15"/>
        <v>0.11436170212765957</v>
      </c>
      <c r="N229" s="18">
        <f t="shared" si="16"/>
        <v>0.13595706618962433</v>
      </c>
      <c r="O229" s="8">
        <f t="shared" si="17"/>
        <v>2.2235526315789476</v>
      </c>
      <c r="P229" s="14">
        <f t="shared" si="18"/>
        <v>8401.9699999999993</v>
      </c>
      <c r="Q229" s="16">
        <f t="shared" si="19"/>
        <v>49.718740753890756</v>
      </c>
    </row>
    <row r="230" spans="1:17" x14ac:dyDescent="0.2">
      <c r="A230" s="2">
        <v>45677</v>
      </c>
      <c r="B230" s="3" t="s">
        <v>653</v>
      </c>
      <c r="C230" s="3" t="s">
        <v>13</v>
      </c>
      <c r="D230" s="3" t="s">
        <v>14</v>
      </c>
      <c r="E230" s="3" t="s">
        <v>15</v>
      </c>
      <c r="F230" s="3" t="s">
        <v>47</v>
      </c>
      <c r="G230" s="3" t="s">
        <v>17</v>
      </c>
      <c r="H230" s="3">
        <v>7363</v>
      </c>
      <c r="I230" s="3">
        <v>333</v>
      </c>
      <c r="J230" s="3">
        <v>6</v>
      </c>
      <c r="K230" s="12">
        <v>662.15</v>
      </c>
      <c r="L230" s="10">
        <v>569.4</v>
      </c>
      <c r="M230" s="16">
        <f t="shared" si="15"/>
        <v>4.5226130653266333E-2</v>
      </c>
      <c r="N230" s="18">
        <f t="shared" si="16"/>
        <v>1.8018018018018018E-2</v>
      </c>
      <c r="O230" s="8">
        <f t="shared" si="17"/>
        <v>110.35833333333333</v>
      </c>
      <c r="P230" s="14">
        <f t="shared" si="18"/>
        <v>-92.75</v>
      </c>
      <c r="Q230" s="16">
        <f t="shared" si="19"/>
        <v>-0.14007400135920864</v>
      </c>
    </row>
    <row r="231" spans="1:17" x14ac:dyDescent="0.2">
      <c r="A231" s="2">
        <v>45677</v>
      </c>
      <c r="B231" s="3" t="s">
        <v>654</v>
      </c>
      <c r="C231" s="3" t="s">
        <v>27</v>
      </c>
      <c r="D231" s="3" t="s">
        <v>28</v>
      </c>
      <c r="E231" s="3" t="s">
        <v>15</v>
      </c>
      <c r="F231" s="3" t="s">
        <v>47</v>
      </c>
      <c r="G231" s="3" t="s">
        <v>17</v>
      </c>
      <c r="H231" s="3">
        <v>19545</v>
      </c>
      <c r="I231" s="3">
        <v>328</v>
      </c>
      <c r="J231" s="3">
        <v>2</v>
      </c>
      <c r="K231" s="12">
        <v>508.48</v>
      </c>
      <c r="L231" s="10">
        <v>125.53</v>
      </c>
      <c r="M231" s="16">
        <f t="shared" si="15"/>
        <v>1.6781785622921465E-2</v>
      </c>
      <c r="N231" s="18">
        <f t="shared" si="16"/>
        <v>6.0975609756097563E-3</v>
      </c>
      <c r="O231" s="8">
        <f t="shared" si="17"/>
        <v>254.24</v>
      </c>
      <c r="P231" s="14">
        <f t="shared" si="18"/>
        <v>-382.95000000000005</v>
      </c>
      <c r="Q231" s="16">
        <f t="shared" si="19"/>
        <v>-0.75312696664568912</v>
      </c>
    </row>
    <row r="232" spans="1:17" x14ac:dyDescent="0.2">
      <c r="A232" s="2">
        <v>45677</v>
      </c>
      <c r="B232" s="3" t="s">
        <v>442</v>
      </c>
      <c r="C232" s="3" t="s">
        <v>19</v>
      </c>
      <c r="D232" s="3" t="s">
        <v>14</v>
      </c>
      <c r="E232" s="3" t="s">
        <v>20</v>
      </c>
      <c r="F232" s="3" t="s">
        <v>34</v>
      </c>
      <c r="G232" s="3" t="s">
        <v>21</v>
      </c>
      <c r="H232" s="3">
        <v>8177</v>
      </c>
      <c r="I232" s="3">
        <v>251</v>
      </c>
      <c r="J232" s="3">
        <v>9</v>
      </c>
      <c r="K232" s="12">
        <v>556.88</v>
      </c>
      <c r="L232" s="10">
        <v>1094.71</v>
      </c>
      <c r="M232" s="16">
        <f t="shared" si="15"/>
        <v>3.0695854225265991E-2</v>
      </c>
      <c r="N232" s="18">
        <f t="shared" si="16"/>
        <v>3.5856573705179286E-2</v>
      </c>
      <c r="O232" s="8">
        <f t="shared" si="17"/>
        <v>61.875555555555557</v>
      </c>
      <c r="P232" s="14">
        <f t="shared" si="18"/>
        <v>537.83000000000004</v>
      </c>
      <c r="Q232" s="16">
        <f t="shared" si="19"/>
        <v>0.96579155293779639</v>
      </c>
    </row>
    <row r="233" spans="1:17" x14ac:dyDescent="0.2">
      <c r="A233" s="2">
        <v>45677</v>
      </c>
      <c r="B233" s="3" t="s">
        <v>431</v>
      </c>
      <c r="C233" s="3" t="s">
        <v>23</v>
      </c>
      <c r="D233" s="3" t="s">
        <v>24</v>
      </c>
      <c r="E233" s="3" t="s">
        <v>20</v>
      </c>
      <c r="F233" s="3" t="s">
        <v>47</v>
      </c>
      <c r="G233" s="3" t="s">
        <v>21</v>
      </c>
      <c r="H233" s="3">
        <v>2405</v>
      </c>
      <c r="I233" s="3">
        <v>219</v>
      </c>
      <c r="J233" s="3">
        <v>34</v>
      </c>
      <c r="K233" s="12">
        <v>109.44</v>
      </c>
      <c r="L233" s="10">
        <v>3819.15</v>
      </c>
      <c r="M233" s="16">
        <f t="shared" si="15"/>
        <v>9.1060291060291065E-2</v>
      </c>
      <c r="N233" s="18">
        <f t="shared" si="16"/>
        <v>0.15525114155251141</v>
      </c>
      <c r="O233" s="8">
        <f t="shared" si="17"/>
        <v>3.2188235294117646</v>
      </c>
      <c r="P233" s="14">
        <f t="shared" si="18"/>
        <v>3709.71</v>
      </c>
      <c r="Q233" s="16">
        <f t="shared" si="19"/>
        <v>33.897203947368425</v>
      </c>
    </row>
    <row r="234" spans="1:17" x14ac:dyDescent="0.2">
      <c r="A234" s="2">
        <v>45677</v>
      </c>
      <c r="B234" s="3" t="s">
        <v>655</v>
      </c>
      <c r="C234" s="3" t="s">
        <v>110</v>
      </c>
      <c r="D234" s="3" t="s">
        <v>24</v>
      </c>
      <c r="E234" s="3" t="s">
        <v>20</v>
      </c>
      <c r="F234" s="3" t="s">
        <v>34</v>
      </c>
      <c r="G234" s="3" t="s">
        <v>17</v>
      </c>
      <c r="H234" s="3">
        <v>4527</v>
      </c>
      <c r="I234" s="3">
        <v>464</v>
      </c>
      <c r="J234" s="3">
        <v>62</v>
      </c>
      <c r="K234" s="12">
        <v>144.41999999999999</v>
      </c>
      <c r="L234" s="10">
        <v>9122.17</v>
      </c>
      <c r="M234" s="16">
        <f t="shared" si="15"/>
        <v>0.10249613430527943</v>
      </c>
      <c r="N234" s="18">
        <f t="shared" si="16"/>
        <v>0.1336206896551724</v>
      </c>
      <c r="O234" s="8">
        <f t="shared" si="17"/>
        <v>2.3293548387096772</v>
      </c>
      <c r="P234" s="14">
        <f t="shared" si="18"/>
        <v>8977.75</v>
      </c>
      <c r="Q234" s="16">
        <f t="shared" si="19"/>
        <v>62.164173937127828</v>
      </c>
    </row>
    <row r="235" spans="1:17" x14ac:dyDescent="0.2">
      <c r="A235" s="2">
        <v>45677</v>
      </c>
      <c r="B235" s="3" t="s">
        <v>143</v>
      </c>
      <c r="C235" s="3" t="s">
        <v>52</v>
      </c>
      <c r="D235" s="3" t="s">
        <v>24</v>
      </c>
      <c r="E235" s="3" t="s">
        <v>20</v>
      </c>
      <c r="F235" s="3" t="s">
        <v>16</v>
      </c>
      <c r="G235" s="3" t="s">
        <v>17</v>
      </c>
      <c r="H235" s="3">
        <v>3363</v>
      </c>
      <c r="I235" s="3">
        <v>466</v>
      </c>
      <c r="J235" s="3">
        <v>43</v>
      </c>
      <c r="K235" s="12">
        <v>105.74</v>
      </c>
      <c r="L235" s="10">
        <v>6071.69</v>
      </c>
      <c r="M235" s="16">
        <f t="shared" si="15"/>
        <v>0.13856675587273268</v>
      </c>
      <c r="N235" s="18">
        <f t="shared" si="16"/>
        <v>9.2274678111587988E-2</v>
      </c>
      <c r="O235" s="8">
        <f t="shared" si="17"/>
        <v>2.4590697674418602</v>
      </c>
      <c r="P235" s="14">
        <f t="shared" si="18"/>
        <v>5965.95</v>
      </c>
      <c r="Q235" s="16">
        <f t="shared" si="19"/>
        <v>56.420938150179687</v>
      </c>
    </row>
    <row r="236" spans="1:17" x14ac:dyDescent="0.2">
      <c r="A236" s="2">
        <v>45677</v>
      </c>
      <c r="B236" s="3" t="s">
        <v>656</v>
      </c>
      <c r="C236" s="3" t="s">
        <v>13</v>
      </c>
      <c r="D236" s="3" t="s">
        <v>14</v>
      </c>
      <c r="E236" s="3" t="s">
        <v>20</v>
      </c>
      <c r="F236" s="3" t="s">
        <v>50</v>
      </c>
      <c r="G236" s="3" t="s">
        <v>17</v>
      </c>
      <c r="H236" s="3">
        <v>7550</v>
      </c>
      <c r="I236" s="3">
        <v>443</v>
      </c>
      <c r="J236" s="3">
        <v>15</v>
      </c>
      <c r="K236" s="12">
        <v>837.47</v>
      </c>
      <c r="L236" s="10">
        <v>1670.85</v>
      </c>
      <c r="M236" s="16">
        <f t="shared" si="15"/>
        <v>5.8675496688741724E-2</v>
      </c>
      <c r="N236" s="18">
        <f t="shared" si="16"/>
        <v>3.3860045146726865E-2</v>
      </c>
      <c r="O236" s="8">
        <f t="shared" si="17"/>
        <v>55.831333333333333</v>
      </c>
      <c r="P236" s="14">
        <f t="shared" si="18"/>
        <v>833.37999999999988</v>
      </c>
      <c r="Q236" s="16">
        <f t="shared" si="19"/>
        <v>0.9951162429698972</v>
      </c>
    </row>
    <row r="237" spans="1:17" x14ac:dyDescent="0.2">
      <c r="A237" s="2">
        <v>45677</v>
      </c>
      <c r="B237" s="3" t="s">
        <v>275</v>
      </c>
      <c r="C237" s="3" t="s">
        <v>156</v>
      </c>
      <c r="D237" s="3" t="s">
        <v>46</v>
      </c>
      <c r="E237" s="3" t="s">
        <v>15</v>
      </c>
      <c r="F237" s="3" t="s">
        <v>50</v>
      </c>
      <c r="G237" s="3" t="s">
        <v>21</v>
      </c>
      <c r="H237" s="3">
        <v>18892</v>
      </c>
      <c r="I237" s="3">
        <v>566</v>
      </c>
      <c r="J237" s="3">
        <v>9</v>
      </c>
      <c r="K237" s="12">
        <v>680.98</v>
      </c>
      <c r="L237" s="10">
        <v>872.52</v>
      </c>
      <c r="M237" s="16">
        <f t="shared" si="15"/>
        <v>2.9959771331780648E-2</v>
      </c>
      <c r="N237" s="18">
        <f t="shared" si="16"/>
        <v>1.5901060070671377E-2</v>
      </c>
      <c r="O237" s="8">
        <f t="shared" si="17"/>
        <v>75.664444444444442</v>
      </c>
      <c r="P237" s="14">
        <f t="shared" si="18"/>
        <v>191.53999999999996</v>
      </c>
      <c r="Q237" s="16">
        <f t="shared" si="19"/>
        <v>0.28127110928367932</v>
      </c>
    </row>
    <row r="238" spans="1:17" x14ac:dyDescent="0.2">
      <c r="A238" s="2">
        <v>45678</v>
      </c>
      <c r="B238" s="3" t="s">
        <v>657</v>
      </c>
      <c r="C238" s="3" t="s">
        <v>54</v>
      </c>
      <c r="D238" s="3" t="s">
        <v>14</v>
      </c>
      <c r="E238" s="3" t="s">
        <v>15</v>
      </c>
      <c r="F238" s="3" t="s">
        <v>47</v>
      </c>
      <c r="G238" s="3" t="s">
        <v>21</v>
      </c>
      <c r="H238" s="3">
        <v>5368</v>
      </c>
      <c r="I238" s="3">
        <v>178</v>
      </c>
      <c r="J238" s="3">
        <v>6</v>
      </c>
      <c r="K238" s="12">
        <v>446.92</v>
      </c>
      <c r="L238" s="10">
        <v>410.4</v>
      </c>
      <c r="M238" s="16">
        <f t="shared" si="15"/>
        <v>3.3159463487332341E-2</v>
      </c>
      <c r="N238" s="18">
        <f t="shared" si="16"/>
        <v>3.3707865168539325E-2</v>
      </c>
      <c r="O238" s="8">
        <f t="shared" si="17"/>
        <v>74.486666666666665</v>
      </c>
      <c r="P238" s="14">
        <f t="shared" si="18"/>
        <v>-36.520000000000039</v>
      </c>
      <c r="Q238" s="16">
        <f t="shared" si="19"/>
        <v>-8.171484829499695E-2</v>
      </c>
    </row>
    <row r="239" spans="1:17" x14ac:dyDescent="0.2">
      <c r="A239" s="2">
        <v>45678</v>
      </c>
      <c r="B239" s="3" t="s">
        <v>658</v>
      </c>
      <c r="C239" s="3" t="s">
        <v>19</v>
      </c>
      <c r="D239" s="3" t="s">
        <v>14</v>
      </c>
      <c r="E239" s="3" t="s">
        <v>15</v>
      </c>
      <c r="F239" s="3" t="s">
        <v>50</v>
      </c>
      <c r="G239" s="3" t="s">
        <v>21</v>
      </c>
      <c r="H239" s="3">
        <v>7406</v>
      </c>
      <c r="I239" s="3">
        <v>306</v>
      </c>
      <c r="J239" s="3">
        <v>10</v>
      </c>
      <c r="K239" s="12">
        <v>674.13</v>
      </c>
      <c r="L239" s="10">
        <v>626.51</v>
      </c>
      <c r="M239" s="16">
        <f t="shared" si="15"/>
        <v>4.1317850391574401E-2</v>
      </c>
      <c r="N239" s="18">
        <f t="shared" si="16"/>
        <v>3.2679738562091505E-2</v>
      </c>
      <c r="O239" s="8">
        <f t="shared" si="17"/>
        <v>67.412999999999997</v>
      </c>
      <c r="P239" s="14">
        <f t="shared" si="18"/>
        <v>-47.620000000000005</v>
      </c>
      <c r="Q239" s="16">
        <f t="shared" si="19"/>
        <v>-7.0639194220699281E-2</v>
      </c>
    </row>
    <row r="240" spans="1:17" x14ac:dyDescent="0.2">
      <c r="A240" s="2">
        <v>45678</v>
      </c>
      <c r="B240" s="3" t="s">
        <v>178</v>
      </c>
      <c r="C240" s="3" t="s">
        <v>52</v>
      </c>
      <c r="D240" s="3" t="s">
        <v>24</v>
      </c>
      <c r="E240" s="3" t="s">
        <v>20</v>
      </c>
      <c r="F240" s="3" t="s">
        <v>50</v>
      </c>
      <c r="G240" s="3" t="s">
        <v>21</v>
      </c>
      <c r="H240" s="3">
        <v>4585</v>
      </c>
      <c r="I240" s="3">
        <v>380</v>
      </c>
      <c r="J240" s="3">
        <v>65</v>
      </c>
      <c r="K240" s="12">
        <v>130.54</v>
      </c>
      <c r="L240" s="10">
        <v>7609.2</v>
      </c>
      <c r="M240" s="16">
        <f t="shared" si="15"/>
        <v>8.2878953107960743E-2</v>
      </c>
      <c r="N240" s="18">
        <f t="shared" si="16"/>
        <v>0.17105263157894737</v>
      </c>
      <c r="O240" s="8">
        <f t="shared" si="17"/>
        <v>2.0083076923076923</v>
      </c>
      <c r="P240" s="14">
        <f t="shared" si="18"/>
        <v>7478.66</v>
      </c>
      <c r="Q240" s="16">
        <f t="shared" si="19"/>
        <v>57.290179255400645</v>
      </c>
    </row>
    <row r="241" spans="1:17" x14ac:dyDescent="0.2">
      <c r="A241" s="2">
        <v>45678</v>
      </c>
      <c r="B241" s="3" t="s">
        <v>83</v>
      </c>
      <c r="C241" s="3" t="s">
        <v>33</v>
      </c>
      <c r="D241" s="3" t="s">
        <v>28</v>
      </c>
      <c r="E241" s="3" t="s">
        <v>20</v>
      </c>
      <c r="F241" s="3" t="s">
        <v>50</v>
      </c>
      <c r="G241" s="3" t="s">
        <v>21</v>
      </c>
      <c r="H241" s="3">
        <v>21234</v>
      </c>
      <c r="I241" s="3">
        <v>457</v>
      </c>
      <c r="J241" s="3">
        <v>3</v>
      </c>
      <c r="K241" s="12">
        <v>670.16</v>
      </c>
      <c r="L241" s="10">
        <v>132.55000000000001</v>
      </c>
      <c r="M241" s="16">
        <f t="shared" si="15"/>
        <v>2.1522087218611662E-2</v>
      </c>
      <c r="N241" s="18">
        <f t="shared" si="16"/>
        <v>6.5645514223194746E-3</v>
      </c>
      <c r="O241" s="8">
        <f t="shared" si="17"/>
        <v>223.38666666666666</v>
      </c>
      <c r="P241" s="14">
        <f t="shared" si="18"/>
        <v>-537.6099999999999</v>
      </c>
      <c r="Q241" s="16">
        <f t="shared" si="19"/>
        <v>-0.80221141220007153</v>
      </c>
    </row>
    <row r="242" spans="1:17" x14ac:dyDescent="0.2">
      <c r="A242" s="2">
        <v>45678</v>
      </c>
      <c r="B242" s="3" t="s">
        <v>659</v>
      </c>
      <c r="C242" s="3" t="s">
        <v>45</v>
      </c>
      <c r="D242" s="3" t="s">
        <v>46</v>
      </c>
      <c r="E242" s="3" t="s">
        <v>20</v>
      </c>
      <c r="F242" s="3" t="s">
        <v>50</v>
      </c>
      <c r="G242" s="3" t="s">
        <v>17</v>
      </c>
      <c r="H242" s="3">
        <v>11604</v>
      </c>
      <c r="I242" s="3">
        <v>346</v>
      </c>
      <c r="J242" s="3">
        <v>8</v>
      </c>
      <c r="K242" s="12">
        <v>397.85</v>
      </c>
      <c r="L242" s="10">
        <v>565.52</v>
      </c>
      <c r="M242" s="16">
        <f t="shared" si="15"/>
        <v>2.9817304377800759E-2</v>
      </c>
      <c r="N242" s="18">
        <f t="shared" si="16"/>
        <v>2.3121387283236993E-2</v>
      </c>
      <c r="O242" s="8">
        <f t="shared" si="17"/>
        <v>49.731250000000003</v>
      </c>
      <c r="P242" s="14">
        <f t="shared" si="18"/>
        <v>167.66999999999996</v>
      </c>
      <c r="Q242" s="16">
        <f t="shared" si="19"/>
        <v>0.42144024129697111</v>
      </c>
    </row>
    <row r="243" spans="1:17" x14ac:dyDescent="0.2">
      <c r="A243" s="2">
        <v>45678</v>
      </c>
      <c r="B243" s="3" t="s">
        <v>660</v>
      </c>
      <c r="C243" s="3" t="s">
        <v>71</v>
      </c>
      <c r="D243" s="3" t="s">
        <v>37</v>
      </c>
      <c r="E243" s="3" t="s">
        <v>15</v>
      </c>
      <c r="F243" s="3" t="s">
        <v>16</v>
      </c>
      <c r="G243" s="3" t="s">
        <v>21</v>
      </c>
      <c r="H243" s="3">
        <v>4689</v>
      </c>
      <c r="I243" s="3">
        <v>122</v>
      </c>
      <c r="J243" s="3">
        <v>2</v>
      </c>
      <c r="K243" s="12">
        <v>611.29</v>
      </c>
      <c r="L243" s="10">
        <v>249.13</v>
      </c>
      <c r="M243" s="16">
        <f t="shared" si="15"/>
        <v>2.6018340797611433E-2</v>
      </c>
      <c r="N243" s="18">
        <f t="shared" si="16"/>
        <v>1.6393442622950821E-2</v>
      </c>
      <c r="O243" s="8">
        <f t="shared" si="17"/>
        <v>305.64499999999998</v>
      </c>
      <c r="P243" s="14">
        <f t="shared" si="18"/>
        <v>-362.15999999999997</v>
      </c>
      <c r="Q243" s="16">
        <f t="shared" si="19"/>
        <v>-0.59245202767917027</v>
      </c>
    </row>
    <row r="244" spans="1:17" x14ac:dyDescent="0.2">
      <c r="A244" s="2">
        <v>45678</v>
      </c>
      <c r="B244" s="3" t="s">
        <v>536</v>
      </c>
      <c r="C244" s="3" t="s">
        <v>39</v>
      </c>
      <c r="D244" s="3" t="s">
        <v>28</v>
      </c>
      <c r="E244" s="3" t="s">
        <v>31</v>
      </c>
      <c r="F244" s="3" t="s">
        <v>50</v>
      </c>
      <c r="G244" s="3" t="s">
        <v>17</v>
      </c>
      <c r="H244" s="3">
        <v>22589</v>
      </c>
      <c r="I244" s="3">
        <v>825</v>
      </c>
      <c r="J244" s="3">
        <v>14</v>
      </c>
      <c r="K244" s="12">
        <v>901.62</v>
      </c>
      <c r="L244" s="10">
        <v>864.92</v>
      </c>
      <c r="M244" s="16">
        <f t="shared" si="15"/>
        <v>3.65222010713179E-2</v>
      </c>
      <c r="N244" s="18">
        <f t="shared" si="16"/>
        <v>1.6969696969696971E-2</v>
      </c>
      <c r="O244" s="8">
        <f t="shared" si="17"/>
        <v>64.401428571428568</v>
      </c>
      <c r="P244" s="14">
        <f t="shared" si="18"/>
        <v>-36.700000000000045</v>
      </c>
      <c r="Q244" s="16">
        <f t="shared" si="19"/>
        <v>-4.0704509660389125E-2</v>
      </c>
    </row>
    <row r="245" spans="1:17" x14ac:dyDescent="0.2">
      <c r="A245" s="2">
        <v>45678</v>
      </c>
      <c r="B245" s="3" t="s">
        <v>256</v>
      </c>
      <c r="C245" s="3" t="s">
        <v>33</v>
      </c>
      <c r="D245" s="3" t="s">
        <v>28</v>
      </c>
      <c r="E245" s="3" t="s">
        <v>20</v>
      </c>
      <c r="F245" s="3" t="s">
        <v>50</v>
      </c>
      <c r="G245" s="3" t="s">
        <v>17</v>
      </c>
      <c r="H245" s="3">
        <v>37368</v>
      </c>
      <c r="I245" s="3">
        <v>882</v>
      </c>
      <c r="J245" s="3">
        <v>11</v>
      </c>
      <c r="K245" s="12">
        <v>0</v>
      </c>
      <c r="L245" s="10">
        <v>568.17999999999995</v>
      </c>
      <c r="M245" s="16">
        <f t="shared" si="15"/>
        <v>2.3603082851637765E-2</v>
      </c>
      <c r="N245" s="18">
        <f t="shared" si="16"/>
        <v>1.2471655328798186E-2</v>
      </c>
      <c r="O245" s="8">
        <f t="shared" si="17"/>
        <v>0</v>
      </c>
      <c r="P245" s="14">
        <f t="shared" si="18"/>
        <v>568.17999999999995</v>
      </c>
      <c r="Q245" s="16">
        <f t="shared" si="19"/>
        <v>0</v>
      </c>
    </row>
    <row r="246" spans="1:17" x14ac:dyDescent="0.2">
      <c r="A246" s="2">
        <v>45678</v>
      </c>
      <c r="B246" s="3" t="s">
        <v>661</v>
      </c>
      <c r="C246" s="3" t="s">
        <v>27</v>
      </c>
      <c r="D246" s="3" t="s">
        <v>28</v>
      </c>
      <c r="E246" s="3" t="s">
        <v>20</v>
      </c>
      <c r="F246" s="3" t="s">
        <v>16</v>
      </c>
      <c r="G246" s="3" t="s">
        <v>17</v>
      </c>
      <c r="H246" s="3">
        <v>19536</v>
      </c>
      <c r="I246" s="3">
        <v>237</v>
      </c>
      <c r="J246" s="3">
        <v>3</v>
      </c>
      <c r="K246" s="12">
        <v>241.11</v>
      </c>
      <c r="L246" s="10">
        <v>145.05000000000001</v>
      </c>
      <c r="M246" s="16">
        <f t="shared" si="15"/>
        <v>1.2131449631449631E-2</v>
      </c>
      <c r="N246" s="18">
        <f t="shared" si="16"/>
        <v>1.2658227848101266E-2</v>
      </c>
      <c r="O246" s="8">
        <f t="shared" si="17"/>
        <v>80.37</v>
      </c>
      <c r="P246" s="14">
        <f t="shared" si="18"/>
        <v>-96.06</v>
      </c>
      <c r="Q246" s="16">
        <f t="shared" si="19"/>
        <v>-0.39840736593256187</v>
      </c>
    </row>
    <row r="247" spans="1:17" x14ac:dyDescent="0.2">
      <c r="A247" s="2">
        <v>45678</v>
      </c>
      <c r="B247" s="3" t="s">
        <v>443</v>
      </c>
      <c r="C247" s="3" t="s">
        <v>58</v>
      </c>
      <c r="D247" s="3" t="s">
        <v>37</v>
      </c>
      <c r="E247" s="3" t="s">
        <v>31</v>
      </c>
      <c r="F247" s="3" t="s">
        <v>50</v>
      </c>
      <c r="G247" s="3" t="s">
        <v>17</v>
      </c>
      <c r="H247" s="3">
        <v>2181</v>
      </c>
      <c r="I247" s="3">
        <v>91</v>
      </c>
      <c r="J247" s="3">
        <v>1</v>
      </c>
      <c r="K247" s="12">
        <v>469.49</v>
      </c>
      <c r="L247" s="10">
        <v>133.83000000000001</v>
      </c>
      <c r="M247" s="16">
        <f t="shared" si="15"/>
        <v>4.1723979825767997E-2</v>
      </c>
      <c r="N247" s="18">
        <f t="shared" si="16"/>
        <v>1.098901098901099E-2</v>
      </c>
      <c r="O247" s="8">
        <f t="shared" si="17"/>
        <v>469.49</v>
      </c>
      <c r="P247" s="14">
        <f t="shared" si="18"/>
        <v>-335.65999999999997</v>
      </c>
      <c r="Q247" s="16">
        <f t="shared" si="19"/>
        <v>-0.71494600523972818</v>
      </c>
    </row>
    <row r="248" spans="1:17" x14ac:dyDescent="0.2">
      <c r="A248" s="2">
        <v>45678</v>
      </c>
      <c r="B248" s="3" t="s">
        <v>662</v>
      </c>
      <c r="C248" s="3" t="s">
        <v>71</v>
      </c>
      <c r="D248" s="3" t="s">
        <v>37</v>
      </c>
      <c r="E248" s="3" t="s">
        <v>20</v>
      </c>
      <c r="F248" s="3" t="s">
        <v>50</v>
      </c>
      <c r="G248" s="3" t="s">
        <v>21</v>
      </c>
      <c r="H248" s="3">
        <v>2182</v>
      </c>
      <c r="I248" s="3">
        <v>57</v>
      </c>
      <c r="J248" s="3">
        <v>1</v>
      </c>
      <c r="K248" s="12">
        <v>289.20999999999998</v>
      </c>
      <c r="L248" s="10">
        <v>160.63</v>
      </c>
      <c r="M248" s="16">
        <f t="shared" si="15"/>
        <v>2.6122823098075159E-2</v>
      </c>
      <c r="N248" s="18">
        <f t="shared" si="16"/>
        <v>1.7543859649122806E-2</v>
      </c>
      <c r="O248" s="8">
        <f t="shared" si="17"/>
        <v>289.20999999999998</v>
      </c>
      <c r="P248" s="14">
        <f t="shared" si="18"/>
        <v>-128.57999999999998</v>
      </c>
      <c r="Q248" s="16">
        <f t="shared" si="19"/>
        <v>-0.44459043601535214</v>
      </c>
    </row>
    <row r="249" spans="1:17" x14ac:dyDescent="0.2">
      <c r="A249" s="2">
        <v>45678</v>
      </c>
      <c r="B249" s="3" t="s">
        <v>663</v>
      </c>
      <c r="C249" s="3" t="s">
        <v>23</v>
      </c>
      <c r="D249" s="3" t="s">
        <v>24</v>
      </c>
      <c r="E249" s="3" t="s">
        <v>20</v>
      </c>
      <c r="F249" s="3" t="s">
        <v>34</v>
      </c>
      <c r="G249" s="3" t="s">
        <v>17</v>
      </c>
      <c r="H249" s="3">
        <v>3499</v>
      </c>
      <c r="I249" s="3">
        <v>436</v>
      </c>
      <c r="J249" s="3">
        <v>62</v>
      </c>
      <c r="K249" s="12">
        <v>184.82</v>
      </c>
      <c r="L249" s="10">
        <v>7571.63</v>
      </c>
      <c r="M249" s="16">
        <f t="shared" si="15"/>
        <v>0.12460703058016576</v>
      </c>
      <c r="N249" s="18">
        <f t="shared" si="16"/>
        <v>0.14220183486238533</v>
      </c>
      <c r="O249" s="8">
        <f t="shared" si="17"/>
        <v>2.9809677419354839</v>
      </c>
      <c r="P249" s="14">
        <f t="shared" si="18"/>
        <v>7386.81</v>
      </c>
      <c r="Q249" s="16">
        <f t="shared" si="19"/>
        <v>39.967590087652852</v>
      </c>
    </row>
    <row r="250" spans="1:17" x14ac:dyDescent="0.2">
      <c r="A250" s="2">
        <v>45679</v>
      </c>
      <c r="B250" s="3" t="s">
        <v>664</v>
      </c>
      <c r="C250" s="3" t="s">
        <v>33</v>
      </c>
      <c r="D250" s="3" t="s">
        <v>28</v>
      </c>
      <c r="E250" s="3" t="s">
        <v>31</v>
      </c>
      <c r="F250" s="3" t="s">
        <v>47</v>
      </c>
      <c r="G250" s="3" t="s">
        <v>17</v>
      </c>
      <c r="H250" s="3">
        <v>29612</v>
      </c>
      <c r="I250" s="3">
        <v>820</v>
      </c>
      <c r="J250" s="3">
        <v>10</v>
      </c>
      <c r="K250" s="12">
        <v>913.56</v>
      </c>
      <c r="L250" s="10">
        <v>572.66</v>
      </c>
      <c r="M250" s="16">
        <f t="shared" si="15"/>
        <v>2.7691476428474943E-2</v>
      </c>
      <c r="N250" s="18">
        <f t="shared" si="16"/>
        <v>1.2195121951219513E-2</v>
      </c>
      <c r="O250" s="8">
        <f t="shared" si="17"/>
        <v>91.355999999999995</v>
      </c>
      <c r="P250" s="14">
        <f t="shared" si="18"/>
        <v>-340.9</v>
      </c>
      <c r="Q250" s="16">
        <f t="shared" si="19"/>
        <v>-0.37315556723149002</v>
      </c>
    </row>
    <row r="251" spans="1:17" x14ac:dyDescent="0.2">
      <c r="A251" s="2">
        <v>45679</v>
      </c>
      <c r="B251" s="3" t="s">
        <v>665</v>
      </c>
      <c r="C251" s="3" t="s">
        <v>33</v>
      </c>
      <c r="D251" s="3" t="s">
        <v>28</v>
      </c>
      <c r="E251" s="3" t="s">
        <v>20</v>
      </c>
      <c r="F251" s="3" t="s">
        <v>47</v>
      </c>
      <c r="G251" s="3" t="s">
        <v>17</v>
      </c>
      <c r="H251" s="3">
        <v>31752</v>
      </c>
      <c r="I251" s="3">
        <v>584</v>
      </c>
      <c r="J251" s="3">
        <v>8</v>
      </c>
      <c r="K251" s="12">
        <v>907.74</v>
      </c>
      <c r="L251" s="10">
        <v>561.4</v>
      </c>
      <c r="M251" s="16">
        <f t="shared" si="15"/>
        <v>1.8392542202066011E-2</v>
      </c>
      <c r="N251" s="18">
        <f t="shared" si="16"/>
        <v>1.3698630136986301E-2</v>
      </c>
      <c r="O251" s="8">
        <f t="shared" si="17"/>
        <v>113.4675</v>
      </c>
      <c r="P251" s="14">
        <f t="shared" si="18"/>
        <v>-346.34000000000003</v>
      </c>
      <c r="Q251" s="16">
        <f t="shared" si="19"/>
        <v>-0.38154096988124359</v>
      </c>
    </row>
    <row r="252" spans="1:17" x14ac:dyDescent="0.2">
      <c r="A252" s="2">
        <v>45679</v>
      </c>
      <c r="B252" s="3" t="s">
        <v>666</v>
      </c>
      <c r="C252" s="3" t="s">
        <v>49</v>
      </c>
      <c r="D252" s="3" t="s">
        <v>46</v>
      </c>
      <c r="E252" s="3" t="s">
        <v>31</v>
      </c>
      <c r="F252" s="3" t="s">
        <v>29</v>
      </c>
      <c r="G252" s="3" t="s">
        <v>17</v>
      </c>
      <c r="H252" s="3">
        <v>14038</v>
      </c>
      <c r="I252" s="3">
        <v>495</v>
      </c>
      <c r="J252" s="3">
        <v>16</v>
      </c>
      <c r="K252" s="12">
        <v>962.59</v>
      </c>
      <c r="L252" s="10">
        <v>1027.5899999999999</v>
      </c>
      <c r="M252" s="16">
        <f t="shared" si="15"/>
        <v>3.5261433252600088E-2</v>
      </c>
      <c r="N252" s="18">
        <f t="shared" si="16"/>
        <v>3.2323232323232323E-2</v>
      </c>
      <c r="O252" s="8">
        <f t="shared" si="17"/>
        <v>60.161875000000002</v>
      </c>
      <c r="P252" s="14">
        <f t="shared" si="18"/>
        <v>64.999999999999886</v>
      </c>
      <c r="Q252" s="16">
        <f t="shared" si="19"/>
        <v>6.7526153398643124E-2</v>
      </c>
    </row>
    <row r="253" spans="1:17" x14ac:dyDescent="0.2">
      <c r="A253" s="2">
        <v>45679</v>
      </c>
      <c r="B253" s="3" t="s">
        <v>667</v>
      </c>
      <c r="C253" s="3" t="s">
        <v>54</v>
      </c>
      <c r="D253" s="3" t="s">
        <v>14</v>
      </c>
      <c r="E253" s="3" t="s">
        <v>20</v>
      </c>
      <c r="F253" s="3" t="s">
        <v>34</v>
      </c>
      <c r="G253" s="3" t="s">
        <v>21</v>
      </c>
      <c r="H253" s="3">
        <v>9557</v>
      </c>
      <c r="I253" s="3">
        <v>385</v>
      </c>
      <c r="J253" s="3">
        <v>15</v>
      </c>
      <c r="K253" s="12">
        <v>848.2</v>
      </c>
      <c r="L253" s="10">
        <v>1016.14</v>
      </c>
      <c r="M253" s="16">
        <f t="shared" si="15"/>
        <v>4.0284608140629903E-2</v>
      </c>
      <c r="N253" s="18">
        <f t="shared" si="16"/>
        <v>3.896103896103896E-2</v>
      </c>
      <c r="O253" s="8">
        <f t="shared" si="17"/>
        <v>56.546666666666667</v>
      </c>
      <c r="P253" s="14">
        <f t="shared" si="18"/>
        <v>167.93999999999994</v>
      </c>
      <c r="Q253" s="16">
        <f t="shared" si="19"/>
        <v>0.19799575571799097</v>
      </c>
    </row>
    <row r="254" spans="1:17" x14ac:dyDescent="0.2">
      <c r="A254" s="2">
        <v>45679</v>
      </c>
      <c r="B254" s="3" t="s">
        <v>166</v>
      </c>
      <c r="C254" s="3" t="s">
        <v>97</v>
      </c>
      <c r="D254" s="3" t="s">
        <v>46</v>
      </c>
      <c r="E254" s="3" t="s">
        <v>31</v>
      </c>
      <c r="F254" s="3" t="s">
        <v>29</v>
      </c>
      <c r="G254" s="3" t="s">
        <v>21</v>
      </c>
      <c r="H254" s="3">
        <v>10545</v>
      </c>
      <c r="I254" s="3">
        <v>265</v>
      </c>
      <c r="J254" s="3">
        <v>15</v>
      </c>
      <c r="K254" s="12">
        <v>393.97</v>
      </c>
      <c r="L254" s="10">
        <v>1440.18</v>
      </c>
      <c r="M254" s="16">
        <f t="shared" si="15"/>
        <v>2.5130393551446185E-2</v>
      </c>
      <c r="N254" s="18">
        <f t="shared" si="16"/>
        <v>5.6603773584905662E-2</v>
      </c>
      <c r="O254" s="8">
        <f t="shared" si="17"/>
        <v>26.264666666666667</v>
      </c>
      <c r="P254" s="14">
        <f t="shared" si="18"/>
        <v>1046.21</v>
      </c>
      <c r="Q254" s="16">
        <f t="shared" si="19"/>
        <v>2.6555575297611491</v>
      </c>
    </row>
    <row r="255" spans="1:17" x14ac:dyDescent="0.2">
      <c r="A255" s="2">
        <v>45679</v>
      </c>
      <c r="B255" s="3" t="s">
        <v>668</v>
      </c>
      <c r="C255" s="3" t="s">
        <v>156</v>
      </c>
      <c r="D255" s="3" t="s">
        <v>46</v>
      </c>
      <c r="E255" s="3" t="s">
        <v>20</v>
      </c>
      <c r="F255" s="3" t="s">
        <v>29</v>
      </c>
      <c r="G255" s="3" t="s">
        <v>17</v>
      </c>
      <c r="H255" s="3">
        <v>14364</v>
      </c>
      <c r="I255" s="3">
        <v>424</v>
      </c>
      <c r="J255" s="3">
        <v>11</v>
      </c>
      <c r="K255" s="12">
        <v>642.82000000000005</v>
      </c>
      <c r="L255" s="10">
        <v>1000.94</v>
      </c>
      <c r="M255" s="16">
        <f t="shared" si="15"/>
        <v>2.9518240044555832E-2</v>
      </c>
      <c r="N255" s="18">
        <f t="shared" si="16"/>
        <v>2.5943396226415096E-2</v>
      </c>
      <c r="O255" s="8">
        <f t="shared" si="17"/>
        <v>58.438181818181825</v>
      </c>
      <c r="P255" s="14">
        <f t="shared" si="18"/>
        <v>358.12</v>
      </c>
      <c r="Q255" s="16">
        <f t="shared" si="19"/>
        <v>0.55710774400298679</v>
      </c>
    </row>
    <row r="256" spans="1:17" x14ac:dyDescent="0.2">
      <c r="A256" s="2">
        <v>45679</v>
      </c>
      <c r="B256" s="3" t="s">
        <v>306</v>
      </c>
      <c r="C256" s="3" t="s">
        <v>27</v>
      </c>
      <c r="D256" s="3" t="s">
        <v>28</v>
      </c>
      <c r="E256" s="3" t="s">
        <v>15</v>
      </c>
      <c r="F256" s="3" t="s">
        <v>50</v>
      </c>
      <c r="G256" s="3" t="s">
        <v>17</v>
      </c>
      <c r="H256" s="3">
        <v>39641</v>
      </c>
      <c r="I256" s="3">
        <v>1094</v>
      </c>
      <c r="J256" s="3">
        <v>10</v>
      </c>
      <c r="K256" s="12">
        <v>1188.1600000000001</v>
      </c>
      <c r="L256" s="10">
        <v>587.97</v>
      </c>
      <c r="M256" s="16">
        <f t="shared" si="15"/>
        <v>2.7597689261118538E-2</v>
      </c>
      <c r="N256" s="18">
        <f t="shared" si="16"/>
        <v>9.140767824497258E-3</v>
      </c>
      <c r="O256" s="8">
        <f t="shared" si="17"/>
        <v>118.816</v>
      </c>
      <c r="P256" s="14">
        <f t="shared" si="18"/>
        <v>-600.19000000000005</v>
      </c>
      <c r="Q256" s="16">
        <f t="shared" si="19"/>
        <v>-0.50514240506329111</v>
      </c>
    </row>
    <row r="257" spans="1:17" x14ac:dyDescent="0.2">
      <c r="A257" s="2">
        <v>45679</v>
      </c>
      <c r="B257" s="3" t="s">
        <v>200</v>
      </c>
      <c r="C257" s="3" t="s">
        <v>52</v>
      </c>
      <c r="D257" s="3" t="s">
        <v>24</v>
      </c>
      <c r="E257" s="3" t="s">
        <v>15</v>
      </c>
      <c r="F257" s="3" t="s">
        <v>34</v>
      </c>
      <c r="G257" s="3" t="s">
        <v>17</v>
      </c>
      <c r="H257" s="3">
        <v>1553</v>
      </c>
      <c r="I257" s="3">
        <v>193</v>
      </c>
      <c r="J257" s="3">
        <v>13</v>
      </c>
      <c r="K257" s="12">
        <v>47.26</v>
      </c>
      <c r="L257" s="10">
        <v>1121.0999999999999</v>
      </c>
      <c r="M257" s="16">
        <f t="shared" si="15"/>
        <v>0.12427559562137798</v>
      </c>
      <c r="N257" s="18">
        <f t="shared" si="16"/>
        <v>6.7357512953367879E-2</v>
      </c>
      <c r="O257" s="8">
        <f t="shared" si="17"/>
        <v>3.6353846153846154</v>
      </c>
      <c r="P257" s="14">
        <f t="shared" si="18"/>
        <v>1073.8399999999999</v>
      </c>
      <c r="Q257" s="16">
        <f t="shared" si="19"/>
        <v>22.721963605586119</v>
      </c>
    </row>
    <row r="258" spans="1:17" x14ac:dyDescent="0.2">
      <c r="A258" s="2">
        <v>45679</v>
      </c>
      <c r="B258" s="3" t="s">
        <v>411</v>
      </c>
      <c r="C258" s="3" t="s">
        <v>49</v>
      </c>
      <c r="D258" s="3" t="s">
        <v>46</v>
      </c>
      <c r="E258" s="3" t="s">
        <v>20</v>
      </c>
      <c r="F258" s="3" t="s">
        <v>29</v>
      </c>
      <c r="G258" s="3" t="s">
        <v>17</v>
      </c>
      <c r="H258" s="3">
        <v>13573</v>
      </c>
      <c r="I258" s="3">
        <v>424</v>
      </c>
      <c r="J258" s="3">
        <v>9</v>
      </c>
      <c r="K258" s="12">
        <v>731.31</v>
      </c>
      <c r="L258" s="10">
        <v>708.69</v>
      </c>
      <c r="M258" s="16">
        <f t="shared" si="15"/>
        <v>3.1238488175053414E-2</v>
      </c>
      <c r="N258" s="18">
        <f t="shared" si="16"/>
        <v>2.1226415094339621E-2</v>
      </c>
      <c r="O258" s="8">
        <f t="shared" si="17"/>
        <v>81.256666666666661</v>
      </c>
      <c r="P258" s="14">
        <f t="shared" si="18"/>
        <v>-22.619999999999891</v>
      </c>
      <c r="Q258" s="16">
        <f t="shared" si="19"/>
        <v>-3.0930795421913952E-2</v>
      </c>
    </row>
    <row r="259" spans="1:17" x14ac:dyDescent="0.2">
      <c r="A259" s="2">
        <v>45679</v>
      </c>
      <c r="B259" s="3" t="s">
        <v>669</v>
      </c>
      <c r="C259" s="3" t="s">
        <v>74</v>
      </c>
      <c r="D259" s="3" t="s">
        <v>28</v>
      </c>
      <c r="E259" s="3" t="s">
        <v>31</v>
      </c>
      <c r="F259" s="3" t="s">
        <v>16</v>
      </c>
      <c r="G259" s="3" t="s">
        <v>17</v>
      </c>
      <c r="H259" s="3">
        <v>32289</v>
      </c>
      <c r="I259" s="3">
        <v>1250</v>
      </c>
      <c r="J259" s="3">
        <v>26</v>
      </c>
      <c r="K259" s="12">
        <v>1115.44</v>
      </c>
      <c r="L259" s="10">
        <v>1683.7</v>
      </c>
      <c r="M259" s="16">
        <f t="shared" ref="M259:M322" si="20">IFERROR(I259/H259,0)</f>
        <v>3.8712874353494998E-2</v>
      </c>
      <c r="N259" s="18">
        <f t="shared" ref="N259:N322" si="21">IFERROR(J259/I259,0)</f>
        <v>2.0799999999999999E-2</v>
      </c>
      <c r="O259" s="8">
        <f t="shared" ref="O259:O322" si="22">IFERROR(K259/J259,0)</f>
        <v>42.901538461538465</v>
      </c>
      <c r="P259" s="14">
        <f t="shared" ref="P259:P322" si="23">L259-K259</f>
        <v>568.26</v>
      </c>
      <c r="Q259" s="16">
        <f t="shared" ref="Q259:Q322" si="24">IFERROR((L259-K259)/K259,0)</f>
        <v>0.50944918597145517</v>
      </c>
    </row>
    <row r="260" spans="1:17" x14ac:dyDescent="0.2">
      <c r="A260" s="2">
        <v>45679</v>
      </c>
      <c r="B260" s="3" t="s">
        <v>252</v>
      </c>
      <c r="C260" s="3" t="s">
        <v>71</v>
      </c>
      <c r="D260" s="3" t="s">
        <v>37</v>
      </c>
      <c r="E260" s="3" t="s">
        <v>20</v>
      </c>
      <c r="F260" s="3" t="s">
        <v>47</v>
      </c>
      <c r="G260" s="3" t="s">
        <v>17</v>
      </c>
      <c r="H260" s="3">
        <v>3140</v>
      </c>
      <c r="I260" s="3">
        <v>140</v>
      </c>
      <c r="J260" s="3">
        <v>4</v>
      </c>
      <c r="K260" s="12">
        <v>1104.67</v>
      </c>
      <c r="L260" s="10">
        <v>175.1</v>
      </c>
      <c r="M260" s="16">
        <f t="shared" si="20"/>
        <v>4.4585987261146494E-2</v>
      </c>
      <c r="N260" s="18">
        <f t="shared" si="21"/>
        <v>2.8571428571428571E-2</v>
      </c>
      <c r="O260" s="8">
        <f t="shared" si="22"/>
        <v>276.16750000000002</v>
      </c>
      <c r="P260" s="14">
        <f t="shared" si="23"/>
        <v>-929.57</v>
      </c>
      <c r="Q260" s="16">
        <f t="shared" si="24"/>
        <v>-0.84149112404609516</v>
      </c>
    </row>
    <row r="261" spans="1:17" x14ac:dyDescent="0.2">
      <c r="A261" s="2">
        <v>45679</v>
      </c>
      <c r="B261" s="3" t="s">
        <v>670</v>
      </c>
      <c r="C261" s="3" t="s">
        <v>41</v>
      </c>
      <c r="D261" s="3" t="s">
        <v>24</v>
      </c>
      <c r="E261" s="3" t="s">
        <v>20</v>
      </c>
      <c r="F261" s="3" t="s">
        <v>50</v>
      </c>
      <c r="G261" s="3" t="s">
        <v>17</v>
      </c>
      <c r="H261" s="3">
        <v>3449</v>
      </c>
      <c r="I261" s="3">
        <v>384</v>
      </c>
      <c r="J261" s="3">
        <v>53</v>
      </c>
      <c r="K261" s="12">
        <v>150.41999999999999</v>
      </c>
      <c r="L261" s="10">
        <v>6274.06</v>
      </c>
      <c r="M261" s="16">
        <f t="shared" si="20"/>
        <v>0.11133661930994491</v>
      </c>
      <c r="N261" s="18">
        <f t="shared" si="21"/>
        <v>0.13802083333333334</v>
      </c>
      <c r="O261" s="8">
        <f t="shared" si="22"/>
        <v>2.8381132075471696</v>
      </c>
      <c r="P261" s="14">
        <f t="shared" si="23"/>
        <v>6123.64</v>
      </c>
      <c r="Q261" s="16">
        <f t="shared" si="24"/>
        <v>40.710277888578652</v>
      </c>
    </row>
    <row r="262" spans="1:17" x14ac:dyDescent="0.2">
      <c r="A262" s="2">
        <v>45679</v>
      </c>
      <c r="B262" s="3" t="s">
        <v>272</v>
      </c>
      <c r="C262" s="3" t="s">
        <v>13</v>
      </c>
      <c r="D262" s="3" t="s">
        <v>14</v>
      </c>
      <c r="E262" s="3" t="s">
        <v>31</v>
      </c>
      <c r="F262" s="3" t="s">
        <v>16</v>
      </c>
      <c r="G262" s="3" t="s">
        <v>17</v>
      </c>
      <c r="H262" s="3">
        <v>6888</v>
      </c>
      <c r="I262" s="3">
        <v>295</v>
      </c>
      <c r="J262" s="3">
        <v>14</v>
      </c>
      <c r="K262" s="12">
        <v>668.56</v>
      </c>
      <c r="L262" s="10">
        <v>1490.93</v>
      </c>
      <c r="M262" s="16">
        <f t="shared" si="20"/>
        <v>4.2828106852497098E-2</v>
      </c>
      <c r="N262" s="18">
        <f t="shared" si="21"/>
        <v>4.7457627118644069E-2</v>
      </c>
      <c r="O262" s="8">
        <f t="shared" si="22"/>
        <v>47.754285714285707</v>
      </c>
      <c r="P262" s="14">
        <f t="shared" si="23"/>
        <v>822.37000000000012</v>
      </c>
      <c r="Q262" s="16">
        <f t="shared" si="24"/>
        <v>1.2300616249850427</v>
      </c>
    </row>
    <row r="263" spans="1:17" x14ac:dyDescent="0.2">
      <c r="A263" s="2">
        <v>45679</v>
      </c>
      <c r="B263" s="3" t="s">
        <v>671</v>
      </c>
      <c r="C263" s="3" t="s">
        <v>54</v>
      </c>
      <c r="D263" s="3" t="s">
        <v>14</v>
      </c>
      <c r="E263" s="3" t="s">
        <v>20</v>
      </c>
      <c r="F263" s="3" t="s">
        <v>50</v>
      </c>
      <c r="G263" s="3" t="s">
        <v>17</v>
      </c>
      <c r="H263" s="3">
        <v>5141</v>
      </c>
      <c r="I263" s="3">
        <v>227</v>
      </c>
      <c r="J263" s="3">
        <v>6</v>
      </c>
      <c r="K263" s="12">
        <v>619.39</v>
      </c>
      <c r="L263" s="10">
        <v>488.56</v>
      </c>
      <c r="M263" s="16">
        <f t="shared" si="20"/>
        <v>4.4154833689943593E-2</v>
      </c>
      <c r="N263" s="18">
        <f t="shared" si="21"/>
        <v>2.643171806167401E-2</v>
      </c>
      <c r="O263" s="8">
        <f t="shared" si="22"/>
        <v>103.23166666666667</v>
      </c>
      <c r="P263" s="14">
        <f t="shared" si="23"/>
        <v>-130.82999999999998</v>
      </c>
      <c r="Q263" s="16">
        <f t="shared" si="24"/>
        <v>-0.21122394614055762</v>
      </c>
    </row>
    <row r="264" spans="1:17" x14ac:dyDescent="0.2">
      <c r="A264" s="2">
        <v>45679</v>
      </c>
      <c r="B264" s="3" t="s">
        <v>672</v>
      </c>
      <c r="C264" s="3" t="s">
        <v>13</v>
      </c>
      <c r="D264" s="3" t="s">
        <v>14</v>
      </c>
      <c r="E264" s="3" t="s">
        <v>20</v>
      </c>
      <c r="F264" s="3" t="s">
        <v>29</v>
      </c>
      <c r="G264" s="3" t="s">
        <v>17</v>
      </c>
      <c r="H264" s="3">
        <v>10344</v>
      </c>
      <c r="I264" s="3">
        <v>695</v>
      </c>
      <c r="J264" s="3">
        <v>18</v>
      </c>
      <c r="K264" s="12">
        <v>1894.23</v>
      </c>
      <c r="L264" s="10">
        <v>1138.01</v>
      </c>
      <c r="M264" s="16">
        <f t="shared" si="20"/>
        <v>6.7188708430007738E-2</v>
      </c>
      <c r="N264" s="18">
        <f t="shared" si="21"/>
        <v>2.5899280575539568E-2</v>
      </c>
      <c r="O264" s="8">
        <f t="shared" si="22"/>
        <v>105.235</v>
      </c>
      <c r="P264" s="14">
        <f t="shared" si="23"/>
        <v>-756.22</v>
      </c>
      <c r="Q264" s="16">
        <f t="shared" si="24"/>
        <v>-0.39922290323772719</v>
      </c>
    </row>
    <row r="265" spans="1:17" x14ac:dyDescent="0.2">
      <c r="A265" s="2">
        <v>45680</v>
      </c>
      <c r="B265" s="3" t="s">
        <v>237</v>
      </c>
      <c r="C265" s="3" t="s">
        <v>33</v>
      </c>
      <c r="D265" s="3" t="s">
        <v>28</v>
      </c>
      <c r="E265" s="3" t="s">
        <v>31</v>
      </c>
      <c r="F265" s="3" t="s">
        <v>16</v>
      </c>
      <c r="G265" s="3" t="s">
        <v>21</v>
      </c>
      <c r="H265" s="3">
        <v>17018</v>
      </c>
      <c r="I265" s="3">
        <v>548</v>
      </c>
      <c r="J265" s="3">
        <v>12</v>
      </c>
      <c r="K265" s="12">
        <v>555.46</v>
      </c>
      <c r="L265" s="10">
        <v>548.20000000000005</v>
      </c>
      <c r="M265" s="16">
        <f t="shared" si="20"/>
        <v>3.2201198730755672E-2</v>
      </c>
      <c r="N265" s="18">
        <f t="shared" si="21"/>
        <v>2.1897810218978103E-2</v>
      </c>
      <c r="O265" s="8">
        <f t="shared" si="22"/>
        <v>46.288333333333334</v>
      </c>
      <c r="P265" s="14">
        <f t="shared" si="23"/>
        <v>-7.2599999999999909</v>
      </c>
      <c r="Q265" s="16">
        <f t="shared" si="24"/>
        <v>-1.3070248082670202E-2</v>
      </c>
    </row>
    <row r="266" spans="1:17" x14ac:dyDescent="0.2">
      <c r="A266" s="2">
        <v>45680</v>
      </c>
      <c r="B266" s="3" t="s">
        <v>202</v>
      </c>
      <c r="C266" s="3" t="s">
        <v>97</v>
      </c>
      <c r="D266" s="3" t="s">
        <v>46</v>
      </c>
      <c r="E266" s="3" t="s">
        <v>31</v>
      </c>
      <c r="F266" s="3" t="s">
        <v>16</v>
      </c>
      <c r="G266" s="3" t="s">
        <v>25</v>
      </c>
      <c r="H266" s="3">
        <v>11247</v>
      </c>
      <c r="I266" s="3">
        <v>453</v>
      </c>
      <c r="J266" s="3">
        <v>12</v>
      </c>
      <c r="K266" s="12">
        <v>490.26</v>
      </c>
      <c r="L266" s="10">
        <v>896.8</v>
      </c>
      <c r="M266" s="16">
        <f t="shared" si="20"/>
        <v>4.0277407308615634E-2</v>
      </c>
      <c r="N266" s="18">
        <f t="shared" si="21"/>
        <v>2.6490066225165563E-2</v>
      </c>
      <c r="O266" s="8">
        <f t="shared" si="22"/>
        <v>40.854999999999997</v>
      </c>
      <c r="P266" s="14">
        <f t="shared" si="23"/>
        <v>406.53999999999996</v>
      </c>
      <c r="Q266" s="16">
        <f t="shared" si="24"/>
        <v>0.82923346795577846</v>
      </c>
    </row>
    <row r="267" spans="1:17" x14ac:dyDescent="0.2">
      <c r="A267" s="2">
        <v>45680</v>
      </c>
      <c r="B267" s="3" t="s">
        <v>673</v>
      </c>
      <c r="C267" s="3" t="s">
        <v>27</v>
      </c>
      <c r="D267" s="3" t="s">
        <v>28</v>
      </c>
      <c r="E267" s="3" t="s">
        <v>20</v>
      </c>
      <c r="F267" s="3" t="s">
        <v>47</v>
      </c>
      <c r="G267" s="3" t="s">
        <v>17</v>
      </c>
      <c r="H267" s="3">
        <v>16148</v>
      </c>
      <c r="I267" s="3">
        <v>492</v>
      </c>
      <c r="J267" s="3">
        <v>8</v>
      </c>
      <c r="K267" s="12">
        <v>607.29</v>
      </c>
      <c r="L267" s="10">
        <v>396.74</v>
      </c>
      <c r="M267" s="16">
        <f t="shared" si="20"/>
        <v>3.0468169432747088E-2</v>
      </c>
      <c r="N267" s="18">
        <f t="shared" si="21"/>
        <v>1.6260162601626018E-2</v>
      </c>
      <c r="O267" s="8">
        <f t="shared" si="22"/>
        <v>75.911249999999995</v>
      </c>
      <c r="P267" s="14">
        <f t="shared" si="23"/>
        <v>-210.54999999999995</v>
      </c>
      <c r="Q267" s="16">
        <f t="shared" si="24"/>
        <v>-0.34670421050898248</v>
      </c>
    </row>
    <row r="268" spans="1:17" x14ac:dyDescent="0.2">
      <c r="A268" s="2">
        <v>45680</v>
      </c>
      <c r="B268" s="3" t="s">
        <v>674</v>
      </c>
      <c r="C268" s="3" t="s">
        <v>110</v>
      </c>
      <c r="D268" s="3" t="s">
        <v>24</v>
      </c>
      <c r="E268" s="3" t="s">
        <v>20</v>
      </c>
      <c r="F268" s="3" t="s">
        <v>16</v>
      </c>
      <c r="G268" s="3" t="s">
        <v>21</v>
      </c>
      <c r="H268" s="3">
        <v>2201</v>
      </c>
      <c r="I268" s="3">
        <v>209</v>
      </c>
      <c r="J268" s="3">
        <v>27</v>
      </c>
      <c r="K268" s="12">
        <v>87.23</v>
      </c>
      <c r="L268" s="10">
        <v>3698.66</v>
      </c>
      <c r="M268" s="16">
        <f t="shared" si="20"/>
        <v>9.4956837800999547E-2</v>
      </c>
      <c r="N268" s="18">
        <f t="shared" si="21"/>
        <v>0.12918660287081341</v>
      </c>
      <c r="O268" s="8">
        <f t="shared" si="22"/>
        <v>3.2307407407407407</v>
      </c>
      <c r="P268" s="14">
        <f t="shared" si="23"/>
        <v>3611.43</v>
      </c>
      <c r="Q268" s="16">
        <f t="shared" si="24"/>
        <v>41.401238106156136</v>
      </c>
    </row>
    <row r="269" spans="1:17" x14ac:dyDescent="0.2">
      <c r="A269" s="2">
        <v>45680</v>
      </c>
      <c r="B269" s="3" t="s">
        <v>451</v>
      </c>
      <c r="C269" s="3" t="s">
        <v>19</v>
      </c>
      <c r="D269" s="3" t="s">
        <v>14</v>
      </c>
      <c r="E269" s="3" t="s">
        <v>20</v>
      </c>
      <c r="F269" s="3" t="s">
        <v>34</v>
      </c>
      <c r="G269" s="3" t="s">
        <v>25</v>
      </c>
      <c r="H269" s="3">
        <v>11840</v>
      </c>
      <c r="I269" s="3">
        <v>673</v>
      </c>
      <c r="J269" s="3">
        <v>27</v>
      </c>
      <c r="K269" s="12">
        <v>1158.1500000000001</v>
      </c>
      <c r="L269" s="10">
        <v>2532.2800000000002</v>
      </c>
      <c r="M269" s="16">
        <f t="shared" si="20"/>
        <v>5.6841216216216219E-2</v>
      </c>
      <c r="N269" s="18">
        <f t="shared" si="21"/>
        <v>4.0118870728083213E-2</v>
      </c>
      <c r="O269" s="8">
        <f t="shared" si="22"/>
        <v>42.894444444444446</v>
      </c>
      <c r="P269" s="14">
        <f t="shared" si="23"/>
        <v>1374.13</v>
      </c>
      <c r="Q269" s="16">
        <f t="shared" si="24"/>
        <v>1.1864870698959546</v>
      </c>
    </row>
    <row r="270" spans="1:17" x14ac:dyDescent="0.2">
      <c r="A270" s="2">
        <v>45680</v>
      </c>
      <c r="B270" s="3" t="s">
        <v>436</v>
      </c>
      <c r="C270" s="3" t="s">
        <v>54</v>
      </c>
      <c r="D270" s="3" t="s">
        <v>14</v>
      </c>
      <c r="E270" s="3" t="s">
        <v>15</v>
      </c>
      <c r="F270" s="3" t="s">
        <v>50</v>
      </c>
      <c r="G270" s="3" t="s">
        <v>21</v>
      </c>
      <c r="H270" s="3">
        <v>9346</v>
      </c>
      <c r="I270" s="3">
        <v>445</v>
      </c>
      <c r="J270" s="3">
        <v>16</v>
      </c>
      <c r="K270" s="12">
        <v>1383.87</v>
      </c>
      <c r="L270" s="10">
        <v>1896.77</v>
      </c>
      <c r="M270" s="16">
        <f t="shared" si="20"/>
        <v>4.7613952493045154E-2</v>
      </c>
      <c r="N270" s="18">
        <f t="shared" si="21"/>
        <v>3.5955056179775284E-2</v>
      </c>
      <c r="O270" s="8">
        <f t="shared" si="22"/>
        <v>86.491874999999993</v>
      </c>
      <c r="P270" s="14">
        <f t="shared" si="23"/>
        <v>512.90000000000009</v>
      </c>
      <c r="Q270" s="16">
        <f t="shared" si="24"/>
        <v>0.37062729880696893</v>
      </c>
    </row>
    <row r="271" spans="1:17" x14ac:dyDescent="0.2">
      <c r="A271" s="2">
        <v>45680</v>
      </c>
      <c r="B271" s="3" t="s">
        <v>675</v>
      </c>
      <c r="C271" s="3" t="s">
        <v>27</v>
      </c>
      <c r="D271" s="3" t="s">
        <v>28</v>
      </c>
      <c r="E271" s="3" t="s">
        <v>20</v>
      </c>
      <c r="F271" s="3" t="s">
        <v>16</v>
      </c>
      <c r="G271" s="3" t="s">
        <v>17</v>
      </c>
      <c r="H271" s="3">
        <v>21878</v>
      </c>
      <c r="I271" s="3">
        <v>499</v>
      </c>
      <c r="J271" s="3">
        <v>6</v>
      </c>
      <c r="K271" s="12">
        <v>641.73</v>
      </c>
      <c r="L271" s="10">
        <v>431.06</v>
      </c>
      <c r="M271" s="16">
        <f t="shared" si="20"/>
        <v>2.2808300575921016E-2</v>
      </c>
      <c r="N271" s="18">
        <f t="shared" si="21"/>
        <v>1.2024048096192385E-2</v>
      </c>
      <c r="O271" s="8">
        <f t="shared" si="22"/>
        <v>106.955</v>
      </c>
      <c r="P271" s="14">
        <f t="shared" si="23"/>
        <v>-210.67000000000002</v>
      </c>
      <c r="Q271" s="16">
        <f t="shared" si="24"/>
        <v>-0.32828448101226376</v>
      </c>
    </row>
    <row r="272" spans="1:17" x14ac:dyDescent="0.2">
      <c r="A272" s="2">
        <v>45681</v>
      </c>
      <c r="B272" s="3" t="s">
        <v>389</v>
      </c>
      <c r="C272" s="3" t="s">
        <v>19</v>
      </c>
      <c r="D272" s="3" t="s">
        <v>14</v>
      </c>
      <c r="E272" s="3" t="s">
        <v>15</v>
      </c>
      <c r="F272" s="3" t="s">
        <v>29</v>
      </c>
      <c r="G272" s="3" t="s">
        <v>17</v>
      </c>
      <c r="H272" s="3">
        <v>8682</v>
      </c>
      <c r="I272" s="3">
        <v>263</v>
      </c>
      <c r="J272" s="3">
        <v>6</v>
      </c>
      <c r="K272" s="12">
        <v>751.63</v>
      </c>
      <c r="L272" s="10">
        <v>514.76</v>
      </c>
      <c r="M272" s="16">
        <f t="shared" si="20"/>
        <v>3.0292559318129464E-2</v>
      </c>
      <c r="N272" s="18">
        <f t="shared" si="21"/>
        <v>2.2813688212927757E-2</v>
      </c>
      <c r="O272" s="8">
        <f t="shared" si="22"/>
        <v>125.27166666666666</v>
      </c>
      <c r="P272" s="14">
        <f t="shared" si="23"/>
        <v>-236.87</v>
      </c>
      <c r="Q272" s="16">
        <f t="shared" si="24"/>
        <v>-0.31514175857802379</v>
      </c>
    </row>
    <row r="273" spans="1:17" x14ac:dyDescent="0.2">
      <c r="A273" s="2">
        <v>45681</v>
      </c>
      <c r="B273" s="3" t="s">
        <v>247</v>
      </c>
      <c r="C273" s="3" t="s">
        <v>58</v>
      </c>
      <c r="D273" s="3" t="s">
        <v>37</v>
      </c>
      <c r="E273" s="3" t="s">
        <v>20</v>
      </c>
      <c r="F273" s="3" t="s">
        <v>47</v>
      </c>
      <c r="G273" s="3" t="s">
        <v>17</v>
      </c>
      <c r="H273" s="3">
        <v>4686</v>
      </c>
      <c r="I273" s="3">
        <v>211</v>
      </c>
      <c r="J273" s="3">
        <v>5</v>
      </c>
      <c r="K273" s="12">
        <v>1636.26</v>
      </c>
      <c r="L273" s="10">
        <v>974.42</v>
      </c>
      <c r="M273" s="16">
        <f t="shared" si="20"/>
        <v>4.5027742210840806E-2</v>
      </c>
      <c r="N273" s="18">
        <f t="shared" si="21"/>
        <v>2.3696682464454975E-2</v>
      </c>
      <c r="O273" s="8">
        <f t="shared" si="22"/>
        <v>327.25200000000001</v>
      </c>
      <c r="P273" s="14">
        <f t="shared" si="23"/>
        <v>-661.84</v>
      </c>
      <c r="Q273" s="16">
        <f t="shared" si="24"/>
        <v>-0.4044833950594649</v>
      </c>
    </row>
    <row r="274" spans="1:17" x14ac:dyDescent="0.2">
      <c r="A274" s="2">
        <v>45681</v>
      </c>
      <c r="B274" s="3" t="s">
        <v>136</v>
      </c>
      <c r="C274" s="3" t="s">
        <v>120</v>
      </c>
      <c r="D274" s="3" t="s">
        <v>14</v>
      </c>
      <c r="E274" s="3" t="s">
        <v>20</v>
      </c>
      <c r="F274" s="3" t="s">
        <v>16</v>
      </c>
      <c r="G274" s="3" t="s">
        <v>21</v>
      </c>
      <c r="H274" s="3">
        <v>11773</v>
      </c>
      <c r="I274" s="3">
        <v>327</v>
      </c>
      <c r="J274" s="3">
        <v>19</v>
      </c>
      <c r="K274" s="12">
        <v>558.51</v>
      </c>
      <c r="L274" s="10">
        <v>2217.7800000000002</v>
      </c>
      <c r="M274" s="16">
        <f t="shared" si="20"/>
        <v>2.7775418330077295E-2</v>
      </c>
      <c r="N274" s="18">
        <f t="shared" si="21"/>
        <v>5.8103975535168197E-2</v>
      </c>
      <c r="O274" s="8">
        <f t="shared" si="22"/>
        <v>29.395263157894735</v>
      </c>
      <c r="P274" s="14">
        <f t="shared" si="23"/>
        <v>1659.2700000000002</v>
      </c>
      <c r="Q274" s="16">
        <f t="shared" si="24"/>
        <v>2.9708868238706563</v>
      </c>
    </row>
    <row r="275" spans="1:17" x14ac:dyDescent="0.2">
      <c r="A275" s="2">
        <v>45681</v>
      </c>
      <c r="B275" s="3" t="s">
        <v>160</v>
      </c>
      <c r="C275" s="3" t="s">
        <v>45</v>
      </c>
      <c r="D275" s="3" t="s">
        <v>46</v>
      </c>
      <c r="E275" s="3" t="s">
        <v>31</v>
      </c>
      <c r="F275" s="3" t="s">
        <v>50</v>
      </c>
      <c r="G275" s="3" t="s">
        <v>17</v>
      </c>
      <c r="H275" s="3">
        <v>8048</v>
      </c>
      <c r="I275" s="3">
        <v>245</v>
      </c>
      <c r="J275" s="3">
        <v>9</v>
      </c>
      <c r="K275" s="12">
        <v>492.73</v>
      </c>
      <c r="L275" s="10">
        <v>888.48</v>
      </c>
      <c r="M275" s="16">
        <f t="shared" si="20"/>
        <v>3.044234592445328E-2</v>
      </c>
      <c r="N275" s="18">
        <f t="shared" si="21"/>
        <v>3.6734693877551024E-2</v>
      </c>
      <c r="O275" s="8">
        <f t="shared" si="22"/>
        <v>54.747777777777777</v>
      </c>
      <c r="P275" s="14">
        <f t="shared" si="23"/>
        <v>395.75</v>
      </c>
      <c r="Q275" s="16">
        <f t="shared" si="24"/>
        <v>0.80317821119071298</v>
      </c>
    </row>
    <row r="276" spans="1:17" x14ac:dyDescent="0.2">
      <c r="A276" s="2">
        <v>45681</v>
      </c>
      <c r="B276" s="3" t="s">
        <v>676</v>
      </c>
      <c r="C276" s="3" t="s">
        <v>27</v>
      </c>
      <c r="D276" s="3" t="s">
        <v>28</v>
      </c>
      <c r="E276" s="3" t="s">
        <v>20</v>
      </c>
      <c r="F276" s="3" t="s">
        <v>50</v>
      </c>
      <c r="G276" s="3" t="s">
        <v>17</v>
      </c>
      <c r="H276" s="3">
        <v>27973</v>
      </c>
      <c r="I276" s="3">
        <v>591</v>
      </c>
      <c r="J276" s="3">
        <v>8</v>
      </c>
      <c r="K276" s="12">
        <v>832.92</v>
      </c>
      <c r="L276" s="10">
        <v>370.24</v>
      </c>
      <c r="M276" s="16">
        <f t="shared" si="20"/>
        <v>2.1127515818825295E-2</v>
      </c>
      <c r="N276" s="18">
        <f t="shared" si="21"/>
        <v>1.3536379018612521E-2</v>
      </c>
      <c r="O276" s="8">
        <f t="shared" si="22"/>
        <v>104.11499999999999</v>
      </c>
      <c r="P276" s="14">
        <f t="shared" si="23"/>
        <v>-462.67999999999995</v>
      </c>
      <c r="Q276" s="16">
        <f t="shared" si="24"/>
        <v>-0.55549152379580269</v>
      </c>
    </row>
    <row r="277" spans="1:17" x14ac:dyDescent="0.2">
      <c r="A277" s="2">
        <v>45681</v>
      </c>
      <c r="B277" s="3" t="s">
        <v>351</v>
      </c>
      <c r="C277" s="3" t="s">
        <v>27</v>
      </c>
      <c r="D277" s="3" t="s">
        <v>28</v>
      </c>
      <c r="E277" s="3" t="s">
        <v>15</v>
      </c>
      <c r="F277" s="3" t="s">
        <v>29</v>
      </c>
      <c r="G277" s="3" t="s">
        <v>21</v>
      </c>
      <c r="H277" s="3">
        <v>16471</v>
      </c>
      <c r="I277" s="3">
        <v>338</v>
      </c>
      <c r="J277" s="3">
        <v>3</v>
      </c>
      <c r="K277" s="12">
        <v>324.94</v>
      </c>
      <c r="L277" s="10">
        <v>85.19</v>
      </c>
      <c r="M277" s="16">
        <f t="shared" si="20"/>
        <v>2.0520915548539857E-2</v>
      </c>
      <c r="N277" s="18">
        <f t="shared" si="21"/>
        <v>8.8757396449704144E-3</v>
      </c>
      <c r="O277" s="8">
        <f t="shared" si="22"/>
        <v>108.31333333333333</v>
      </c>
      <c r="P277" s="14">
        <f t="shared" si="23"/>
        <v>-239.75</v>
      </c>
      <c r="Q277" s="16">
        <f t="shared" si="24"/>
        <v>-0.73782852218871176</v>
      </c>
    </row>
    <row r="278" spans="1:17" x14ac:dyDescent="0.2">
      <c r="A278" s="2">
        <v>45681</v>
      </c>
      <c r="B278" s="3" t="s">
        <v>352</v>
      </c>
      <c r="C278" s="3" t="s">
        <v>41</v>
      </c>
      <c r="D278" s="3" t="s">
        <v>24</v>
      </c>
      <c r="E278" s="3" t="s">
        <v>31</v>
      </c>
      <c r="F278" s="3" t="s">
        <v>47</v>
      </c>
      <c r="G278" s="3" t="s">
        <v>17</v>
      </c>
      <c r="H278" s="3">
        <v>4579</v>
      </c>
      <c r="I278" s="3">
        <v>529</v>
      </c>
      <c r="J278" s="3">
        <v>97</v>
      </c>
      <c r="K278" s="12">
        <v>183.09</v>
      </c>
      <c r="L278" s="10">
        <v>9262.2800000000007</v>
      </c>
      <c r="M278" s="16">
        <f t="shared" si="20"/>
        <v>0.11552740773094562</v>
      </c>
      <c r="N278" s="18">
        <f t="shared" si="21"/>
        <v>0.1833648393194707</v>
      </c>
      <c r="O278" s="8">
        <f t="shared" si="22"/>
        <v>1.8875257731958763</v>
      </c>
      <c r="P278" s="14">
        <f t="shared" si="23"/>
        <v>9079.19</v>
      </c>
      <c r="Q278" s="16">
        <f t="shared" si="24"/>
        <v>49.58867223769731</v>
      </c>
    </row>
    <row r="279" spans="1:17" x14ac:dyDescent="0.2">
      <c r="A279" s="2">
        <v>45681</v>
      </c>
      <c r="B279" s="3" t="s">
        <v>383</v>
      </c>
      <c r="C279" s="3" t="s">
        <v>39</v>
      </c>
      <c r="D279" s="3" t="s">
        <v>28</v>
      </c>
      <c r="E279" s="3" t="s">
        <v>20</v>
      </c>
      <c r="F279" s="3" t="s">
        <v>16</v>
      </c>
      <c r="G279" s="3" t="s">
        <v>25</v>
      </c>
      <c r="H279" s="3">
        <v>33934</v>
      </c>
      <c r="I279" s="3">
        <v>982</v>
      </c>
      <c r="J279" s="3">
        <v>12</v>
      </c>
      <c r="K279" s="12">
        <v>1163.71</v>
      </c>
      <c r="L279" s="10">
        <v>939.35</v>
      </c>
      <c r="M279" s="16">
        <f t="shared" si="20"/>
        <v>2.8938527730299993E-2</v>
      </c>
      <c r="N279" s="18">
        <f t="shared" si="21"/>
        <v>1.2219959266802444E-2</v>
      </c>
      <c r="O279" s="8">
        <f t="shared" si="22"/>
        <v>96.975833333333341</v>
      </c>
      <c r="P279" s="14">
        <f t="shared" si="23"/>
        <v>-224.36</v>
      </c>
      <c r="Q279" s="16">
        <f t="shared" si="24"/>
        <v>-0.19279717455379777</v>
      </c>
    </row>
    <row r="280" spans="1:17" x14ac:dyDescent="0.2">
      <c r="A280" s="2">
        <v>45681</v>
      </c>
      <c r="B280" s="3" t="s">
        <v>403</v>
      </c>
      <c r="C280" s="3" t="s">
        <v>156</v>
      </c>
      <c r="D280" s="3" t="s">
        <v>46</v>
      </c>
      <c r="E280" s="3" t="s">
        <v>15</v>
      </c>
      <c r="F280" s="3" t="s">
        <v>47</v>
      </c>
      <c r="G280" s="3" t="s">
        <v>21</v>
      </c>
      <c r="H280" s="3">
        <v>16361</v>
      </c>
      <c r="I280" s="3">
        <v>481</v>
      </c>
      <c r="J280" s="3">
        <v>14</v>
      </c>
      <c r="K280" s="12">
        <v>597.6</v>
      </c>
      <c r="L280" s="10">
        <v>700.97</v>
      </c>
      <c r="M280" s="16">
        <f t="shared" si="20"/>
        <v>2.9399180979157752E-2</v>
      </c>
      <c r="N280" s="18">
        <f t="shared" si="21"/>
        <v>2.9106029106029108E-2</v>
      </c>
      <c r="O280" s="8">
        <f t="shared" si="22"/>
        <v>42.68571428571429</v>
      </c>
      <c r="P280" s="14">
        <f t="shared" si="23"/>
        <v>103.37</v>
      </c>
      <c r="Q280" s="16">
        <f t="shared" si="24"/>
        <v>0.172975234270415</v>
      </c>
    </row>
    <row r="281" spans="1:17" x14ac:dyDescent="0.2">
      <c r="A281" s="2">
        <v>45681</v>
      </c>
      <c r="B281" s="3" t="s">
        <v>677</v>
      </c>
      <c r="C281" s="3" t="s">
        <v>58</v>
      </c>
      <c r="D281" s="3" t="s">
        <v>37</v>
      </c>
      <c r="E281" s="3" t="s">
        <v>31</v>
      </c>
      <c r="F281" s="3" t="s">
        <v>34</v>
      </c>
      <c r="G281" s="3" t="s">
        <v>17</v>
      </c>
      <c r="H281" s="3">
        <v>5061</v>
      </c>
      <c r="I281" s="3">
        <v>246</v>
      </c>
      <c r="J281" s="3">
        <v>5</v>
      </c>
      <c r="K281" s="12">
        <v>1620.2</v>
      </c>
      <c r="L281" s="10">
        <v>947.47</v>
      </c>
      <c r="M281" s="16">
        <f t="shared" si="20"/>
        <v>4.8606994665085952E-2</v>
      </c>
      <c r="N281" s="18">
        <f t="shared" si="21"/>
        <v>2.032520325203252E-2</v>
      </c>
      <c r="O281" s="8">
        <f t="shared" si="22"/>
        <v>324.04000000000002</v>
      </c>
      <c r="P281" s="14">
        <f t="shared" si="23"/>
        <v>-672.73</v>
      </c>
      <c r="Q281" s="16">
        <f t="shared" si="24"/>
        <v>-0.41521417108998887</v>
      </c>
    </row>
    <row r="282" spans="1:17" x14ac:dyDescent="0.2">
      <c r="A282" s="2">
        <v>45681</v>
      </c>
      <c r="B282" s="3" t="s">
        <v>678</v>
      </c>
      <c r="C282" s="3" t="s">
        <v>120</v>
      </c>
      <c r="D282" s="3" t="s">
        <v>14</v>
      </c>
      <c r="E282" s="3" t="s">
        <v>31</v>
      </c>
      <c r="F282" s="3" t="s">
        <v>47</v>
      </c>
      <c r="G282" s="3" t="s">
        <v>17</v>
      </c>
      <c r="H282" s="3">
        <v>14376</v>
      </c>
      <c r="I282" s="3">
        <v>1086</v>
      </c>
      <c r="J282" s="3">
        <v>50</v>
      </c>
      <c r="K282" s="12">
        <v>2040.99</v>
      </c>
      <c r="L282" s="10">
        <v>4502.59</v>
      </c>
      <c r="M282" s="16">
        <f t="shared" si="20"/>
        <v>7.554257095158598E-2</v>
      </c>
      <c r="N282" s="18">
        <f t="shared" si="21"/>
        <v>4.6040515653775323E-2</v>
      </c>
      <c r="O282" s="8">
        <f t="shared" si="22"/>
        <v>40.819800000000001</v>
      </c>
      <c r="P282" s="14">
        <f t="shared" si="23"/>
        <v>2461.6000000000004</v>
      </c>
      <c r="Q282" s="16">
        <f t="shared" si="24"/>
        <v>1.2060813624760534</v>
      </c>
    </row>
    <row r="283" spans="1:17" x14ac:dyDescent="0.2">
      <c r="A283" s="2">
        <v>45681</v>
      </c>
      <c r="B283" s="3" t="s">
        <v>145</v>
      </c>
      <c r="C283" s="3" t="s">
        <v>45</v>
      </c>
      <c r="D283" s="3" t="s">
        <v>46</v>
      </c>
      <c r="E283" s="3" t="s">
        <v>20</v>
      </c>
      <c r="F283" s="3" t="s">
        <v>16</v>
      </c>
      <c r="G283" s="3" t="s">
        <v>17</v>
      </c>
      <c r="H283" s="3">
        <v>17776</v>
      </c>
      <c r="I283" s="3">
        <v>734</v>
      </c>
      <c r="J283" s="3">
        <v>14</v>
      </c>
      <c r="K283" s="12">
        <v>744.09</v>
      </c>
      <c r="L283" s="10">
        <v>1157.05</v>
      </c>
      <c r="M283" s="16">
        <f t="shared" si="20"/>
        <v>4.1291629162916295E-2</v>
      </c>
      <c r="N283" s="18">
        <f t="shared" si="21"/>
        <v>1.9073569482288829E-2</v>
      </c>
      <c r="O283" s="8">
        <f t="shared" si="22"/>
        <v>53.149285714285718</v>
      </c>
      <c r="P283" s="14">
        <f t="shared" si="23"/>
        <v>412.95999999999992</v>
      </c>
      <c r="Q283" s="16">
        <f t="shared" si="24"/>
        <v>0.5549866279616712</v>
      </c>
    </row>
    <row r="284" spans="1:17" x14ac:dyDescent="0.2">
      <c r="A284" s="2">
        <v>45682</v>
      </c>
      <c r="B284" s="3" t="s">
        <v>377</v>
      </c>
      <c r="C284" s="3" t="s">
        <v>33</v>
      </c>
      <c r="D284" s="3" t="s">
        <v>28</v>
      </c>
      <c r="E284" s="3" t="s">
        <v>20</v>
      </c>
      <c r="F284" s="3" t="s">
        <v>50</v>
      </c>
      <c r="G284" s="3" t="s">
        <v>25</v>
      </c>
      <c r="H284" s="3">
        <v>16122</v>
      </c>
      <c r="I284" s="3">
        <v>443</v>
      </c>
      <c r="J284" s="3">
        <v>6</v>
      </c>
      <c r="K284" s="12">
        <v>493.74</v>
      </c>
      <c r="L284" s="10">
        <v>242.62</v>
      </c>
      <c r="M284" s="16">
        <f t="shared" si="20"/>
        <v>2.7477980399454163E-2</v>
      </c>
      <c r="N284" s="18">
        <f t="shared" si="21"/>
        <v>1.3544018058690745E-2</v>
      </c>
      <c r="O284" s="8">
        <f t="shared" si="22"/>
        <v>82.29</v>
      </c>
      <c r="P284" s="14">
        <f t="shared" si="23"/>
        <v>-251.12</v>
      </c>
      <c r="Q284" s="16">
        <f t="shared" si="24"/>
        <v>-0.50860776927127638</v>
      </c>
    </row>
    <row r="285" spans="1:17" x14ac:dyDescent="0.2">
      <c r="A285" s="2">
        <v>45682</v>
      </c>
      <c r="B285" s="3" t="s">
        <v>679</v>
      </c>
      <c r="C285" s="3" t="s">
        <v>97</v>
      </c>
      <c r="D285" s="3" t="s">
        <v>46</v>
      </c>
      <c r="E285" s="3" t="s">
        <v>15</v>
      </c>
      <c r="F285" s="3" t="s">
        <v>34</v>
      </c>
      <c r="G285" s="3" t="s">
        <v>21</v>
      </c>
      <c r="H285" s="3">
        <v>8047</v>
      </c>
      <c r="I285" s="3">
        <v>227</v>
      </c>
      <c r="J285" s="3">
        <v>4</v>
      </c>
      <c r="K285" s="12">
        <v>338.69</v>
      </c>
      <c r="L285" s="10">
        <v>377.37</v>
      </c>
      <c r="M285" s="16">
        <f t="shared" si="20"/>
        <v>2.8209270535603331E-2</v>
      </c>
      <c r="N285" s="18">
        <f t="shared" si="21"/>
        <v>1.7621145374449341E-2</v>
      </c>
      <c r="O285" s="8">
        <f t="shared" si="22"/>
        <v>84.672499999999999</v>
      </c>
      <c r="P285" s="14">
        <f t="shared" si="23"/>
        <v>38.680000000000007</v>
      </c>
      <c r="Q285" s="16">
        <f t="shared" si="24"/>
        <v>0.11420472998907558</v>
      </c>
    </row>
    <row r="286" spans="1:17" x14ac:dyDescent="0.2">
      <c r="A286" s="2">
        <v>45682</v>
      </c>
      <c r="B286" s="3" t="s">
        <v>680</v>
      </c>
      <c r="C286" s="3" t="s">
        <v>54</v>
      </c>
      <c r="D286" s="3" t="s">
        <v>14</v>
      </c>
      <c r="E286" s="3" t="s">
        <v>31</v>
      </c>
      <c r="F286" s="3" t="s">
        <v>34</v>
      </c>
      <c r="G286" s="3" t="s">
        <v>17</v>
      </c>
      <c r="H286" s="3">
        <v>12114</v>
      </c>
      <c r="I286" s="3">
        <v>534</v>
      </c>
      <c r="J286" s="3">
        <v>32</v>
      </c>
      <c r="K286" s="12">
        <v>833.15</v>
      </c>
      <c r="L286" s="10">
        <v>3733.62</v>
      </c>
      <c r="M286" s="16">
        <f t="shared" si="20"/>
        <v>4.4081228330856863E-2</v>
      </c>
      <c r="N286" s="18">
        <f t="shared" si="21"/>
        <v>5.9925093632958802E-2</v>
      </c>
      <c r="O286" s="8">
        <f t="shared" si="22"/>
        <v>26.035937499999999</v>
      </c>
      <c r="P286" s="14">
        <f t="shared" si="23"/>
        <v>2900.47</v>
      </c>
      <c r="Q286" s="16">
        <f t="shared" si="24"/>
        <v>3.4813298925763667</v>
      </c>
    </row>
    <row r="287" spans="1:17" x14ac:dyDescent="0.2">
      <c r="A287" s="2">
        <v>45682</v>
      </c>
      <c r="B287" s="3" t="s">
        <v>681</v>
      </c>
      <c r="C287" s="3" t="s">
        <v>58</v>
      </c>
      <c r="D287" s="3" t="s">
        <v>37</v>
      </c>
      <c r="E287" s="3" t="s">
        <v>15</v>
      </c>
      <c r="F287" s="3" t="s">
        <v>47</v>
      </c>
      <c r="G287" s="3" t="s">
        <v>17</v>
      </c>
      <c r="H287" s="3">
        <v>4999</v>
      </c>
      <c r="I287" s="3">
        <v>112</v>
      </c>
      <c r="J287" s="3">
        <v>2</v>
      </c>
      <c r="K287" s="12">
        <v>572.58000000000004</v>
      </c>
      <c r="L287" s="10">
        <v>22.95</v>
      </c>
      <c r="M287" s="16">
        <f t="shared" si="20"/>
        <v>2.2404480896179236E-2</v>
      </c>
      <c r="N287" s="18">
        <f t="shared" si="21"/>
        <v>1.7857142857142856E-2</v>
      </c>
      <c r="O287" s="8">
        <f t="shared" si="22"/>
        <v>286.29000000000002</v>
      </c>
      <c r="P287" s="14">
        <f t="shared" si="23"/>
        <v>-549.63</v>
      </c>
      <c r="Q287" s="16">
        <f t="shared" si="24"/>
        <v>-0.95991826469663621</v>
      </c>
    </row>
    <row r="288" spans="1:17" x14ac:dyDescent="0.2">
      <c r="A288" s="2">
        <v>45682</v>
      </c>
      <c r="B288" s="3" t="s">
        <v>345</v>
      </c>
      <c r="C288" s="3" t="s">
        <v>54</v>
      </c>
      <c r="D288" s="3" t="s">
        <v>14</v>
      </c>
      <c r="E288" s="3" t="s">
        <v>31</v>
      </c>
      <c r="F288" s="3" t="s">
        <v>34</v>
      </c>
      <c r="G288" s="3" t="s">
        <v>21</v>
      </c>
      <c r="H288" s="3">
        <v>11562</v>
      </c>
      <c r="I288" s="3">
        <v>365</v>
      </c>
      <c r="J288" s="3">
        <v>31</v>
      </c>
      <c r="K288" s="12">
        <v>965.8</v>
      </c>
      <c r="L288" s="10">
        <v>2251.37</v>
      </c>
      <c r="M288" s="16">
        <f t="shared" si="20"/>
        <v>3.1568932710603702E-2</v>
      </c>
      <c r="N288" s="18">
        <f t="shared" si="21"/>
        <v>8.4931506849315067E-2</v>
      </c>
      <c r="O288" s="8">
        <f t="shared" si="22"/>
        <v>31.154838709677417</v>
      </c>
      <c r="P288" s="14">
        <f t="shared" si="23"/>
        <v>1285.57</v>
      </c>
      <c r="Q288" s="16">
        <f t="shared" si="24"/>
        <v>1.3310933940774488</v>
      </c>
    </row>
    <row r="289" spans="1:17" x14ac:dyDescent="0.2">
      <c r="A289" s="2">
        <v>45682</v>
      </c>
      <c r="B289" s="3" t="s">
        <v>115</v>
      </c>
      <c r="C289" s="3" t="s">
        <v>74</v>
      </c>
      <c r="D289" s="3" t="s">
        <v>28</v>
      </c>
      <c r="E289" s="3" t="s">
        <v>15</v>
      </c>
      <c r="F289" s="3" t="s">
        <v>34</v>
      </c>
      <c r="G289" s="3" t="s">
        <v>17</v>
      </c>
      <c r="H289" s="3">
        <v>34997</v>
      </c>
      <c r="I289" s="3">
        <v>453</v>
      </c>
      <c r="J289" s="3">
        <v>4</v>
      </c>
      <c r="K289" s="12">
        <v>365.99</v>
      </c>
      <c r="L289" s="10">
        <v>55.5</v>
      </c>
      <c r="M289" s="16">
        <f t="shared" si="20"/>
        <v>1.2943966625710776E-2</v>
      </c>
      <c r="N289" s="18">
        <f t="shared" si="21"/>
        <v>8.8300220750551876E-3</v>
      </c>
      <c r="O289" s="8">
        <f t="shared" si="22"/>
        <v>91.497500000000002</v>
      </c>
      <c r="P289" s="14">
        <f t="shared" si="23"/>
        <v>-310.49</v>
      </c>
      <c r="Q289" s="16">
        <f t="shared" si="24"/>
        <v>-0.84835651247301835</v>
      </c>
    </row>
    <row r="290" spans="1:17" x14ac:dyDescent="0.2">
      <c r="A290" s="2">
        <v>45682</v>
      </c>
      <c r="B290" s="3" t="s">
        <v>682</v>
      </c>
      <c r="C290" s="3" t="s">
        <v>110</v>
      </c>
      <c r="D290" s="3" t="s">
        <v>24</v>
      </c>
      <c r="E290" s="3" t="s">
        <v>31</v>
      </c>
      <c r="F290" s="3" t="s">
        <v>16</v>
      </c>
      <c r="G290" s="3" t="s">
        <v>21</v>
      </c>
      <c r="H290" s="3">
        <v>2579</v>
      </c>
      <c r="I290" s="3">
        <v>275</v>
      </c>
      <c r="J290" s="3">
        <v>67</v>
      </c>
      <c r="K290" s="12">
        <v>109.45</v>
      </c>
      <c r="L290" s="10">
        <v>6952.27</v>
      </c>
      <c r="M290" s="16">
        <f t="shared" si="20"/>
        <v>0.10663047692904226</v>
      </c>
      <c r="N290" s="18">
        <f t="shared" si="21"/>
        <v>0.24363636363636362</v>
      </c>
      <c r="O290" s="8">
        <f t="shared" si="22"/>
        <v>1.6335820895522388</v>
      </c>
      <c r="P290" s="14">
        <f t="shared" si="23"/>
        <v>6842.8200000000006</v>
      </c>
      <c r="Q290" s="16">
        <f t="shared" si="24"/>
        <v>62.520054819552314</v>
      </c>
    </row>
    <row r="291" spans="1:17" x14ac:dyDescent="0.2">
      <c r="A291" s="2">
        <v>45682</v>
      </c>
      <c r="B291" s="3" t="s">
        <v>683</v>
      </c>
      <c r="C291" s="3" t="s">
        <v>33</v>
      </c>
      <c r="D291" s="3" t="s">
        <v>28</v>
      </c>
      <c r="E291" s="3" t="s">
        <v>20</v>
      </c>
      <c r="F291" s="3" t="s">
        <v>50</v>
      </c>
      <c r="G291" s="3" t="s">
        <v>17</v>
      </c>
      <c r="H291" s="3">
        <v>19367</v>
      </c>
      <c r="I291" s="3">
        <v>681</v>
      </c>
      <c r="J291" s="3">
        <v>7</v>
      </c>
      <c r="K291" s="12">
        <v>675.57</v>
      </c>
      <c r="L291" s="10">
        <v>526.19000000000005</v>
      </c>
      <c r="M291" s="16">
        <f t="shared" si="20"/>
        <v>3.5162905974079617E-2</v>
      </c>
      <c r="N291" s="18">
        <f t="shared" si="21"/>
        <v>1.0279001468428781E-2</v>
      </c>
      <c r="O291" s="8">
        <f t="shared" si="22"/>
        <v>96.51</v>
      </c>
      <c r="P291" s="14">
        <f t="shared" si="23"/>
        <v>-149.38</v>
      </c>
      <c r="Q291" s="16">
        <f t="shared" si="24"/>
        <v>-0.22111698269609364</v>
      </c>
    </row>
    <row r="292" spans="1:17" x14ac:dyDescent="0.2">
      <c r="A292" s="2">
        <v>45682</v>
      </c>
      <c r="B292" s="3" t="s">
        <v>330</v>
      </c>
      <c r="C292" s="3" t="s">
        <v>52</v>
      </c>
      <c r="D292" s="3" t="s">
        <v>24</v>
      </c>
      <c r="E292" s="3" t="s">
        <v>15</v>
      </c>
      <c r="F292" s="3" t="s">
        <v>29</v>
      </c>
      <c r="G292" s="3" t="s">
        <v>21</v>
      </c>
      <c r="H292" s="3">
        <v>4717</v>
      </c>
      <c r="I292" s="3">
        <v>560</v>
      </c>
      <c r="J292" s="3">
        <v>54</v>
      </c>
      <c r="K292" s="12">
        <v>133.91999999999999</v>
      </c>
      <c r="L292" s="10">
        <v>5577.18</v>
      </c>
      <c r="M292" s="16">
        <f t="shared" si="20"/>
        <v>0.11871952512189951</v>
      </c>
      <c r="N292" s="18">
        <f t="shared" si="21"/>
        <v>9.6428571428571433E-2</v>
      </c>
      <c r="O292" s="8">
        <f t="shared" si="22"/>
        <v>2.48</v>
      </c>
      <c r="P292" s="14">
        <f t="shared" si="23"/>
        <v>5443.26</v>
      </c>
      <c r="Q292" s="16">
        <f t="shared" si="24"/>
        <v>40.645609318996421</v>
      </c>
    </row>
    <row r="293" spans="1:17" x14ac:dyDescent="0.2">
      <c r="A293" s="2">
        <v>45682</v>
      </c>
      <c r="B293" s="3" t="s">
        <v>684</v>
      </c>
      <c r="C293" s="3" t="s">
        <v>71</v>
      </c>
      <c r="D293" s="3" t="s">
        <v>37</v>
      </c>
      <c r="E293" s="3" t="s">
        <v>20</v>
      </c>
      <c r="F293" s="3" t="s">
        <v>50</v>
      </c>
      <c r="G293" s="3" t="s">
        <v>21</v>
      </c>
      <c r="H293" s="3">
        <v>5112</v>
      </c>
      <c r="I293" s="3">
        <v>135</v>
      </c>
      <c r="J293" s="3">
        <v>2</v>
      </c>
      <c r="K293" s="12">
        <v>643.32000000000005</v>
      </c>
      <c r="L293" s="10">
        <v>93.26</v>
      </c>
      <c r="M293" s="16">
        <f t="shared" si="20"/>
        <v>2.6408450704225352E-2</v>
      </c>
      <c r="N293" s="18">
        <f t="shared" si="21"/>
        <v>1.4814814814814815E-2</v>
      </c>
      <c r="O293" s="8">
        <f t="shared" si="22"/>
        <v>321.66000000000003</v>
      </c>
      <c r="P293" s="14">
        <f t="shared" si="23"/>
        <v>-550.06000000000006</v>
      </c>
      <c r="Q293" s="16">
        <f t="shared" si="24"/>
        <v>-0.85503326493813347</v>
      </c>
    </row>
    <row r="294" spans="1:17" x14ac:dyDescent="0.2">
      <c r="A294" s="2">
        <v>45682</v>
      </c>
      <c r="B294" s="3" t="s">
        <v>685</v>
      </c>
      <c r="C294" s="3" t="s">
        <v>52</v>
      </c>
      <c r="D294" s="3" t="s">
        <v>24</v>
      </c>
      <c r="E294" s="3" t="s">
        <v>31</v>
      </c>
      <c r="F294" s="3" t="s">
        <v>50</v>
      </c>
      <c r="G294" s="3" t="s">
        <v>17</v>
      </c>
      <c r="H294" s="3">
        <v>1826</v>
      </c>
      <c r="I294" s="3">
        <v>233</v>
      </c>
      <c r="J294" s="3">
        <v>28</v>
      </c>
      <c r="K294" s="12">
        <v>98.75</v>
      </c>
      <c r="L294" s="10">
        <v>3647.69</v>
      </c>
      <c r="M294" s="16">
        <f t="shared" si="20"/>
        <v>0.1276013143483023</v>
      </c>
      <c r="N294" s="18">
        <f t="shared" si="21"/>
        <v>0.12017167381974249</v>
      </c>
      <c r="O294" s="8">
        <f t="shared" si="22"/>
        <v>3.5267857142857144</v>
      </c>
      <c r="P294" s="14">
        <f t="shared" si="23"/>
        <v>3548.94</v>
      </c>
      <c r="Q294" s="16">
        <f t="shared" si="24"/>
        <v>35.938632911392403</v>
      </c>
    </row>
    <row r="295" spans="1:17" x14ac:dyDescent="0.2">
      <c r="A295" s="2">
        <v>45682</v>
      </c>
      <c r="B295" s="3" t="s">
        <v>79</v>
      </c>
      <c r="C295" s="3" t="s">
        <v>39</v>
      </c>
      <c r="D295" s="3" t="s">
        <v>28</v>
      </c>
      <c r="E295" s="3" t="s">
        <v>31</v>
      </c>
      <c r="F295" s="3" t="s">
        <v>29</v>
      </c>
      <c r="G295" s="3" t="s">
        <v>17</v>
      </c>
      <c r="H295" s="3">
        <v>20916</v>
      </c>
      <c r="I295" s="3">
        <v>757</v>
      </c>
      <c r="J295" s="3">
        <v>7</v>
      </c>
      <c r="K295" s="12">
        <v>902.18</v>
      </c>
      <c r="L295" s="10">
        <v>336.97</v>
      </c>
      <c r="M295" s="16">
        <f t="shared" si="20"/>
        <v>3.6192388602027156E-2</v>
      </c>
      <c r="N295" s="18">
        <f t="shared" si="21"/>
        <v>9.247027741083224E-3</v>
      </c>
      <c r="O295" s="8">
        <f t="shared" si="22"/>
        <v>128.88285714285715</v>
      </c>
      <c r="P295" s="14">
        <f t="shared" si="23"/>
        <v>-565.20999999999992</v>
      </c>
      <c r="Q295" s="16">
        <f t="shared" si="24"/>
        <v>-0.6264936043805005</v>
      </c>
    </row>
    <row r="296" spans="1:17" x14ac:dyDescent="0.2">
      <c r="A296" s="2">
        <v>45682</v>
      </c>
      <c r="B296" s="3" t="s">
        <v>686</v>
      </c>
      <c r="C296" s="3" t="s">
        <v>120</v>
      </c>
      <c r="D296" s="3" t="s">
        <v>14</v>
      </c>
      <c r="E296" s="3" t="s">
        <v>15</v>
      </c>
      <c r="F296" s="3" t="s">
        <v>34</v>
      </c>
      <c r="G296" s="3" t="s">
        <v>21</v>
      </c>
      <c r="H296" s="3">
        <v>7380</v>
      </c>
      <c r="I296" s="3">
        <v>330</v>
      </c>
      <c r="J296" s="3">
        <v>8</v>
      </c>
      <c r="K296" s="12">
        <v>907.67</v>
      </c>
      <c r="L296" s="10">
        <v>747.83</v>
      </c>
      <c r="M296" s="16">
        <f t="shared" si="20"/>
        <v>4.4715447154471545E-2</v>
      </c>
      <c r="N296" s="18">
        <f t="shared" si="21"/>
        <v>2.4242424242424242E-2</v>
      </c>
      <c r="O296" s="8">
        <f t="shared" si="22"/>
        <v>113.45874999999999</v>
      </c>
      <c r="P296" s="14">
        <f t="shared" si="23"/>
        <v>-159.83999999999992</v>
      </c>
      <c r="Q296" s="16">
        <f t="shared" si="24"/>
        <v>-0.17609924311699177</v>
      </c>
    </row>
    <row r="297" spans="1:17" x14ac:dyDescent="0.2">
      <c r="A297" s="2">
        <v>45682</v>
      </c>
      <c r="B297" s="3" t="s">
        <v>687</v>
      </c>
      <c r="C297" s="3" t="s">
        <v>36</v>
      </c>
      <c r="D297" s="3" t="s">
        <v>37</v>
      </c>
      <c r="E297" s="3" t="s">
        <v>15</v>
      </c>
      <c r="F297" s="3" t="s">
        <v>16</v>
      </c>
      <c r="G297" s="3" t="s">
        <v>17</v>
      </c>
      <c r="H297" s="3">
        <v>6248</v>
      </c>
      <c r="I297" s="3">
        <v>184</v>
      </c>
      <c r="J297" s="3">
        <v>1</v>
      </c>
      <c r="K297" s="12">
        <v>979.93</v>
      </c>
      <c r="L297" s="10">
        <v>125.97</v>
      </c>
      <c r="M297" s="16">
        <f t="shared" si="20"/>
        <v>2.9449423815621E-2</v>
      </c>
      <c r="N297" s="18">
        <f t="shared" si="21"/>
        <v>5.434782608695652E-3</v>
      </c>
      <c r="O297" s="8">
        <f t="shared" si="22"/>
        <v>979.93</v>
      </c>
      <c r="P297" s="14">
        <f t="shared" si="23"/>
        <v>-853.95999999999992</v>
      </c>
      <c r="Q297" s="16">
        <f t="shared" si="24"/>
        <v>-0.8714500015307215</v>
      </c>
    </row>
    <row r="298" spans="1:17" x14ac:dyDescent="0.2">
      <c r="A298" s="2">
        <v>45683</v>
      </c>
      <c r="B298" s="3" t="s">
        <v>199</v>
      </c>
      <c r="C298" s="3" t="s">
        <v>27</v>
      </c>
      <c r="D298" s="3" t="s">
        <v>28</v>
      </c>
      <c r="E298" s="3" t="s">
        <v>15</v>
      </c>
      <c r="F298" s="3" t="s">
        <v>34</v>
      </c>
      <c r="G298" s="3" t="s">
        <v>17</v>
      </c>
      <c r="H298" s="3">
        <v>20471</v>
      </c>
      <c r="I298" s="3">
        <v>582</v>
      </c>
      <c r="J298" s="3">
        <v>3</v>
      </c>
      <c r="K298" s="12">
        <v>572.41</v>
      </c>
      <c r="L298" s="10">
        <v>204.92</v>
      </c>
      <c r="M298" s="16">
        <f t="shared" si="20"/>
        <v>2.8430462605637242E-2</v>
      </c>
      <c r="N298" s="18">
        <f t="shared" si="21"/>
        <v>5.1546391752577319E-3</v>
      </c>
      <c r="O298" s="8">
        <f t="shared" si="22"/>
        <v>190.80333333333331</v>
      </c>
      <c r="P298" s="14">
        <f t="shared" si="23"/>
        <v>-367.49</v>
      </c>
      <c r="Q298" s="16">
        <f t="shared" si="24"/>
        <v>-0.64200485665868878</v>
      </c>
    </row>
    <row r="299" spans="1:17" x14ac:dyDescent="0.2">
      <c r="A299" s="2">
        <v>45683</v>
      </c>
      <c r="B299" s="3" t="s">
        <v>688</v>
      </c>
      <c r="C299" s="3" t="s">
        <v>13</v>
      </c>
      <c r="D299" s="3" t="s">
        <v>14</v>
      </c>
      <c r="E299" s="3" t="s">
        <v>20</v>
      </c>
      <c r="F299" s="3" t="s">
        <v>29</v>
      </c>
      <c r="G299" s="3" t="s">
        <v>21</v>
      </c>
      <c r="H299" s="3">
        <v>8500</v>
      </c>
      <c r="I299" s="3">
        <v>372</v>
      </c>
      <c r="J299" s="3">
        <v>20</v>
      </c>
      <c r="K299" s="12">
        <v>661.78</v>
      </c>
      <c r="L299" s="10">
        <v>1649.65</v>
      </c>
      <c r="M299" s="16">
        <f t="shared" si="20"/>
        <v>4.3764705882352942E-2</v>
      </c>
      <c r="N299" s="18">
        <f t="shared" si="21"/>
        <v>5.3763440860215055E-2</v>
      </c>
      <c r="O299" s="8">
        <f t="shared" si="22"/>
        <v>33.088999999999999</v>
      </c>
      <c r="P299" s="14">
        <f t="shared" si="23"/>
        <v>987.87000000000012</v>
      </c>
      <c r="Q299" s="16">
        <f t="shared" si="24"/>
        <v>1.4927468342953853</v>
      </c>
    </row>
    <row r="300" spans="1:17" x14ac:dyDescent="0.2">
      <c r="A300" s="2">
        <v>45683</v>
      </c>
      <c r="B300" s="3" t="s">
        <v>154</v>
      </c>
      <c r="C300" s="3" t="s">
        <v>71</v>
      </c>
      <c r="D300" s="3" t="s">
        <v>37</v>
      </c>
      <c r="E300" s="3" t="s">
        <v>31</v>
      </c>
      <c r="F300" s="3" t="s">
        <v>16</v>
      </c>
      <c r="G300" s="3" t="s">
        <v>21</v>
      </c>
      <c r="H300" s="3">
        <v>6267</v>
      </c>
      <c r="I300" s="3">
        <v>262</v>
      </c>
      <c r="J300" s="3">
        <v>9</v>
      </c>
      <c r="K300" s="12">
        <v>1209.31</v>
      </c>
      <c r="L300" s="10">
        <v>1903.92</v>
      </c>
      <c r="M300" s="16">
        <f t="shared" si="20"/>
        <v>4.1806286899632998E-2</v>
      </c>
      <c r="N300" s="18">
        <f t="shared" si="21"/>
        <v>3.4351145038167941E-2</v>
      </c>
      <c r="O300" s="8">
        <f t="shared" si="22"/>
        <v>134.36777777777777</v>
      </c>
      <c r="P300" s="14">
        <f t="shared" si="23"/>
        <v>694.61000000000013</v>
      </c>
      <c r="Q300" s="16">
        <f t="shared" si="24"/>
        <v>0.57438539332346561</v>
      </c>
    </row>
    <row r="301" spans="1:17" x14ac:dyDescent="0.2">
      <c r="A301" s="2">
        <v>45683</v>
      </c>
      <c r="B301" s="3" t="s">
        <v>689</v>
      </c>
      <c r="C301" s="3" t="s">
        <v>36</v>
      </c>
      <c r="D301" s="3" t="s">
        <v>37</v>
      </c>
      <c r="E301" s="3" t="s">
        <v>31</v>
      </c>
      <c r="F301" s="3" t="s">
        <v>47</v>
      </c>
      <c r="G301" s="3" t="s">
        <v>21</v>
      </c>
      <c r="H301" s="3">
        <v>3391</v>
      </c>
      <c r="I301" s="3">
        <v>175</v>
      </c>
      <c r="J301" s="3">
        <v>7</v>
      </c>
      <c r="K301" s="12">
        <v>792.35</v>
      </c>
      <c r="L301" s="10">
        <v>963.68</v>
      </c>
      <c r="M301" s="16">
        <f t="shared" si="20"/>
        <v>5.1607195517546445E-2</v>
      </c>
      <c r="N301" s="18">
        <f t="shared" si="21"/>
        <v>0.04</v>
      </c>
      <c r="O301" s="8">
        <f t="shared" si="22"/>
        <v>113.19285714285715</v>
      </c>
      <c r="P301" s="14">
        <f t="shared" si="23"/>
        <v>171.32999999999993</v>
      </c>
      <c r="Q301" s="16">
        <f t="shared" si="24"/>
        <v>0.21623020129993048</v>
      </c>
    </row>
    <row r="302" spans="1:17" x14ac:dyDescent="0.2">
      <c r="A302" s="2">
        <v>45683</v>
      </c>
      <c r="B302" s="3" t="s">
        <v>541</v>
      </c>
      <c r="C302" s="3" t="s">
        <v>110</v>
      </c>
      <c r="D302" s="3" t="s">
        <v>24</v>
      </c>
      <c r="E302" s="3" t="s">
        <v>20</v>
      </c>
      <c r="F302" s="3" t="s">
        <v>29</v>
      </c>
      <c r="G302" s="3" t="s">
        <v>21</v>
      </c>
      <c r="H302" s="3">
        <v>2289</v>
      </c>
      <c r="I302" s="3">
        <v>243</v>
      </c>
      <c r="J302" s="3">
        <v>29</v>
      </c>
      <c r="K302" s="12">
        <v>52.89</v>
      </c>
      <c r="L302" s="10">
        <v>4068.17</v>
      </c>
      <c r="M302" s="16">
        <f t="shared" si="20"/>
        <v>0.10615989515072084</v>
      </c>
      <c r="N302" s="18">
        <f t="shared" si="21"/>
        <v>0.11934156378600823</v>
      </c>
      <c r="O302" s="8">
        <f t="shared" si="22"/>
        <v>1.8237931034482759</v>
      </c>
      <c r="P302" s="14">
        <f t="shared" si="23"/>
        <v>4015.28</v>
      </c>
      <c r="Q302" s="16">
        <f t="shared" si="24"/>
        <v>75.917564757042925</v>
      </c>
    </row>
    <row r="303" spans="1:17" x14ac:dyDescent="0.2">
      <c r="A303" s="2">
        <v>45683</v>
      </c>
      <c r="B303" s="3" t="s">
        <v>207</v>
      </c>
      <c r="C303" s="3" t="s">
        <v>54</v>
      </c>
      <c r="D303" s="3" t="s">
        <v>14</v>
      </c>
      <c r="E303" s="3" t="s">
        <v>20</v>
      </c>
      <c r="F303" s="3" t="s">
        <v>29</v>
      </c>
      <c r="G303" s="3" t="s">
        <v>17</v>
      </c>
      <c r="H303" s="3">
        <v>5675</v>
      </c>
      <c r="I303" s="3">
        <v>201</v>
      </c>
      <c r="J303" s="3">
        <v>6</v>
      </c>
      <c r="K303" s="12">
        <v>305.76</v>
      </c>
      <c r="L303" s="10">
        <v>594.80999999999995</v>
      </c>
      <c r="M303" s="16">
        <f t="shared" si="20"/>
        <v>3.5418502202643171E-2</v>
      </c>
      <c r="N303" s="18">
        <f t="shared" si="21"/>
        <v>2.9850746268656716E-2</v>
      </c>
      <c r="O303" s="8">
        <f t="shared" si="22"/>
        <v>50.96</v>
      </c>
      <c r="P303" s="14">
        <f t="shared" si="23"/>
        <v>289.04999999999995</v>
      </c>
      <c r="Q303" s="16">
        <f t="shared" si="24"/>
        <v>0.94534929356357911</v>
      </c>
    </row>
    <row r="304" spans="1:17" x14ac:dyDescent="0.2">
      <c r="A304" s="2">
        <v>45683</v>
      </c>
      <c r="B304" s="3" t="s">
        <v>690</v>
      </c>
      <c r="C304" s="3" t="s">
        <v>71</v>
      </c>
      <c r="D304" s="3" t="s">
        <v>37</v>
      </c>
      <c r="E304" s="3" t="s">
        <v>20</v>
      </c>
      <c r="F304" s="3" t="s">
        <v>47</v>
      </c>
      <c r="G304" s="3" t="s">
        <v>17</v>
      </c>
      <c r="H304" s="3">
        <v>2749</v>
      </c>
      <c r="I304" s="3">
        <v>82</v>
      </c>
      <c r="J304" s="3">
        <v>2</v>
      </c>
      <c r="K304" s="12">
        <v>351.52</v>
      </c>
      <c r="L304" s="10">
        <v>293.02999999999997</v>
      </c>
      <c r="M304" s="16">
        <f t="shared" si="20"/>
        <v>2.9829028737722807E-2</v>
      </c>
      <c r="N304" s="18">
        <f t="shared" si="21"/>
        <v>2.4390243902439025E-2</v>
      </c>
      <c r="O304" s="8">
        <f t="shared" si="22"/>
        <v>175.76</v>
      </c>
      <c r="P304" s="14">
        <f t="shared" si="23"/>
        <v>-58.490000000000009</v>
      </c>
      <c r="Q304" s="16">
        <f t="shared" si="24"/>
        <v>-0.16639167045971784</v>
      </c>
    </row>
    <row r="305" spans="1:17" x14ac:dyDescent="0.2">
      <c r="A305" s="2">
        <v>45683</v>
      </c>
      <c r="B305" s="3" t="s">
        <v>691</v>
      </c>
      <c r="C305" s="3" t="s">
        <v>27</v>
      </c>
      <c r="D305" s="3" t="s">
        <v>28</v>
      </c>
      <c r="E305" s="3" t="s">
        <v>20</v>
      </c>
      <c r="F305" s="3" t="s">
        <v>34</v>
      </c>
      <c r="G305" s="3" t="s">
        <v>17</v>
      </c>
      <c r="H305" s="3">
        <v>17861</v>
      </c>
      <c r="I305" s="3">
        <v>419</v>
      </c>
      <c r="J305" s="3">
        <v>3</v>
      </c>
      <c r="K305" s="12">
        <v>441.49</v>
      </c>
      <c r="L305" s="10">
        <v>133.09</v>
      </c>
      <c r="M305" s="16">
        <f t="shared" si="20"/>
        <v>2.3458932870499973E-2</v>
      </c>
      <c r="N305" s="18">
        <f t="shared" si="21"/>
        <v>7.1599045346062056E-3</v>
      </c>
      <c r="O305" s="8">
        <f t="shared" si="22"/>
        <v>147.16333333333333</v>
      </c>
      <c r="P305" s="14">
        <f t="shared" si="23"/>
        <v>-308.39999999999998</v>
      </c>
      <c r="Q305" s="16">
        <f t="shared" si="24"/>
        <v>-0.69854356837074449</v>
      </c>
    </row>
    <row r="306" spans="1:17" x14ac:dyDescent="0.2">
      <c r="A306" s="2">
        <v>45683</v>
      </c>
      <c r="B306" s="3" t="s">
        <v>325</v>
      </c>
      <c r="C306" s="3" t="s">
        <v>33</v>
      </c>
      <c r="D306" s="3" t="s">
        <v>28</v>
      </c>
      <c r="E306" s="3" t="s">
        <v>20</v>
      </c>
      <c r="F306" s="3" t="s">
        <v>47</v>
      </c>
      <c r="G306" s="3" t="s">
        <v>21</v>
      </c>
      <c r="H306" s="3">
        <v>18541</v>
      </c>
      <c r="I306" s="3">
        <v>189</v>
      </c>
      <c r="J306" s="3">
        <v>2</v>
      </c>
      <c r="K306" s="12">
        <v>176.48</v>
      </c>
      <c r="L306" s="10">
        <v>121.05</v>
      </c>
      <c r="M306" s="16">
        <f t="shared" si="20"/>
        <v>1.0193624939323661E-2</v>
      </c>
      <c r="N306" s="18">
        <f t="shared" si="21"/>
        <v>1.0582010582010581E-2</v>
      </c>
      <c r="O306" s="8">
        <f t="shared" si="22"/>
        <v>88.24</v>
      </c>
      <c r="P306" s="14">
        <f t="shared" si="23"/>
        <v>-55.429999999999993</v>
      </c>
      <c r="Q306" s="16">
        <f t="shared" si="24"/>
        <v>-0.31408658204895734</v>
      </c>
    </row>
    <row r="307" spans="1:17" x14ac:dyDescent="0.2">
      <c r="A307" s="2">
        <v>45683</v>
      </c>
      <c r="B307" s="3" t="s">
        <v>692</v>
      </c>
      <c r="C307" s="3" t="s">
        <v>27</v>
      </c>
      <c r="D307" s="3" t="s">
        <v>28</v>
      </c>
      <c r="E307" s="3" t="s">
        <v>15</v>
      </c>
      <c r="F307" s="3" t="s">
        <v>34</v>
      </c>
      <c r="G307" s="3" t="s">
        <v>17</v>
      </c>
      <c r="H307" s="3">
        <v>15745</v>
      </c>
      <c r="I307" s="3">
        <v>265</v>
      </c>
      <c r="J307" s="3">
        <v>1</v>
      </c>
      <c r="K307" s="12">
        <v>302.88</v>
      </c>
      <c r="L307" s="10">
        <v>59.56</v>
      </c>
      <c r="M307" s="16">
        <f t="shared" si="20"/>
        <v>1.6830739917434105E-2</v>
      </c>
      <c r="N307" s="18">
        <f t="shared" si="21"/>
        <v>3.7735849056603774E-3</v>
      </c>
      <c r="O307" s="8">
        <f t="shared" si="22"/>
        <v>302.88</v>
      </c>
      <c r="P307" s="14">
        <f t="shared" si="23"/>
        <v>-243.32</v>
      </c>
      <c r="Q307" s="16">
        <f t="shared" si="24"/>
        <v>-0.80335446381405173</v>
      </c>
    </row>
    <row r="308" spans="1:17" x14ac:dyDescent="0.2">
      <c r="A308" s="2">
        <v>45683</v>
      </c>
      <c r="B308" s="3" t="s">
        <v>450</v>
      </c>
      <c r="C308" s="3" t="s">
        <v>27</v>
      </c>
      <c r="D308" s="3" t="s">
        <v>28</v>
      </c>
      <c r="E308" s="3" t="s">
        <v>20</v>
      </c>
      <c r="F308" s="3" t="s">
        <v>50</v>
      </c>
      <c r="G308" s="3" t="s">
        <v>17</v>
      </c>
      <c r="H308" s="3">
        <v>32722</v>
      </c>
      <c r="I308" s="3">
        <v>1093</v>
      </c>
      <c r="J308" s="3">
        <v>8</v>
      </c>
      <c r="K308" s="12">
        <v>975.52</v>
      </c>
      <c r="L308" s="10">
        <v>508.73</v>
      </c>
      <c r="M308" s="16">
        <f t="shared" si="20"/>
        <v>3.3402603752826845E-2</v>
      </c>
      <c r="N308" s="18">
        <f t="shared" si="21"/>
        <v>7.319304666056725E-3</v>
      </c>
      <c r="O308" s="8">
        <f t="shared" si="22"/>
        <v>121.94</v>
      </c>
      <c r="P308" s="14">
        <f t="shared" si="23"/>
        <v>-466.78999999999996</v>
      </c>
      <c r="Q308" s="16">
        <f t="shared" si="24"/>
        <v>-0.47850377234705588</v>
      </c>
    </row>
    <row r="309" spans="1:17" x14ac:dyDescent="0.2">
      <c r="A309" s="2">
        <v>45683</v>
      </c>
      <c r="B309" s="3" t="s">
        <v>412</v>
      </c>
      <c r="C309" s="3" t="s">
        <v>156</v>
      </c>
      <c r="D309" s="3" t="s">
        <v>46</v>
      </c>
      <c r="E309" s="3" t="s">
        <v>31</v>
      </c>
      <c r="F309" s="3" t="s">
        <v>47</v>
      </c>
      <c r="G309" s="3" t="s">
        <v>17</v>
      </c>
      <c r="H309" s="3">
        <v>18355</v>
      </c>
      <c r="I309" s="3">
        <v>588</v>
      </c>
      <c r="J309" s="3">
        <v>24</v>
      </c>
      <c r="K309" s="12">
        <v>1017.92</v>
      </c>
      <c r="L309" s="10">
        <v>2326.39</v>
      </c>
      <c r="M309" s="16">
        <f t="shared" si="20"/>
        <v>3.2034867883410513E-2</v>
      </c>
      <c r="N309" s="18">
        <f t="shared" si="21"/>
        <v>4.0816326530612242E-2</v>
      </c>
      <c r="O309" s="8">
        <f t="shared" si="22"/>
        <v>42.413333333333334</v>
      </c>
      <c r="P309" s="14">
        <f t="shared" si="23"/>
        <v>1308.4699999999998</v>
      </c>
      <c r="Q309" s="16">
        <f t="shared" si="24"/>
        <v>1.2854350047154981</v>
      </c>
    </row>
    <row r="310" spans="1:17" x14ac:dyDescent="0.2">
      <c r="A310" s="2">
        <v>45683</v>
      </c>
      <c r="B310" s="3" t="s">
        <v>693</v>
      </c>
      <c r="C310" s="3" t="s">
        <v>156</v>
      </c>
      <c r="D310" s="3" t="s">
        <v>46</v>
      </c>
      <c r="E310" s="3" t="s">
        <v>20</v>
      </c>
      <c r="F310" s="3" t="s">
        <v>50</v>
      </c>
      <c r="G310" s="3" t="s">
        <v>17</v>
      </c>
      <c r="H310" s="3">
        <v>10192</v>
      </c>
      <c r="I310" s="3">
        <v>474</v>
      </c>
      <c r="J310" s="3">
        <v>9</v>
      </c>
      <c r="K310" s="12">
        <v>647.52</v>
      </c>
      <c r="L310" s="10">
        <v>541.30999999999995</v>
      </c>
      <c r="M310" s="16">
        <f t="shared" si="20"/>
        <v>4.6507064364207221E-2</v>
      </c>
      <c r="N310" s="18">
        <f t="shared" si="21"/>
        <v>1.8987341772151899E-2</v>
      </c>
      <c r="O310" s="8">
        <f t="shared" si="22"/>
        <v>71.946666666666658</v>
      </c>
      <c r="P310" s="14">
        <f t="shared" si="23"/>
        <v>-106.21000000000004</v>
      </c>
      <c r="Q310" s="16">
        <f t="shared" si="24"/>
        <v>-0.16402582159624418</v>
      </c>
    </row>
    <row r="311" spans="1:17" x14ac:dyDescent="0.2">
      <c r="A311" s="2">
        <v>45683</v>
      </c>
      <c r="B311" s="3" t="s">
        <v>694</v>
      </c>
      <c r="C311" s="3" t="s">
        <v>19</v>
      </c>
      <c r="D311" s="3" t="s">
        <v>14</v>
      </c>
      <c r="E311" s="3" t="s">
        <v>31</v>
      </c>
      <c r="F311" s="3" t="s">
        <v>16</v>
      </c>
      <c r="G311" s="3" t="s">
        <v>17</v>
      </c>
      <c r="H311" s="3">
        <v>12545</v>
      </c>
      <c r="I311" s="3">
        <v>700</v>
      </c>
      <c r="J311" s="3">
        <v>34</v>
      </c>
      <c r="K311" s="12">
        <v>1530.19</v>
      </c>
      <c r="L311" s="10">
        <v>3042.86</v>
      </c>
      <c r="M311" s="16">
        <f t="shared" si="20"/>
        <v>5.5799123156636113E-2</v>
      </c>
      <c r="N311" s="18">
        <f t="shared" si="21"/>
        <v>4.8571428571428571E-2</v>
      </c>
      <c r="O311" s="8">
        <f t="shared" si="22"/>
        <v>45.00558823529412</v>
      </c>
      <c r="P311" s="14">
        <f t="shared" si="23"/>
        <v>1512.67</v>
      </c>
      <c r="Q311" s="16">
        <f t="shared" si="24"/>
        <v>0.98855044144844761</v>
      </c>
    </row>
    <row r="312" spans="1:17" x14ac:dyDescent="0.2">
      <c r="A312" s="2">
        <v>45684</v>
      </c>
      <c r="B312" s="3" t="s">
        <v>482</v>
      </c>
      <c r="C312" s="3" t="s">
        <v>120</v>
      </c>
      <c r="D312" s="3" t="s">
        <v>14</v>
      </c>
      <c r="E312" s="3" t="s">
        <v>20</v>
      </c>
      <c r="F312" s="3" t="s">
        <v>47</v>
      </c>
      <c r="G312" s="3" t="s">
        <v>17</v>
      </c>
      <c r="H312" s="3">
        <v>6838</v>
      </c>
      <c r="I312" s="3">
        <v>195</v>
      </c>
      <c r="J312" s="3">
        <v>6</v>
      </c>
      <c r="K312" s="12">
        <v>360.82</v>
      </c>
      <c r="L312" s="10">
        <v>479.43</v>
      </c>
      <c r="M312" s="16">
        <f t="shared" si="20"/>
        <v>2.8517110266159697E-2</v>
      </c>
      <c r="N312" s="18">
        <f t="shared" si="21"/>
        <v>3.0769230769230771E-2</v>
      </c>
      <c r="O312" s="8">
        <f t="shared" si="22"/>
        <v>60.136666666666663</v>
      </c>
      <c r="P312" s="14">
        <f t="shared" si="23"/>
        <v>118.61000000000001</v>
      </c>
      <c r="Q312" s="16">
        <f t="shared" si="24"/>
        <v>0.32872346322265955</v>
      </c>
    </row>
    <row r="313" spans="1:17" x14ac:dyDescent="0.2">
      <c r="A313" s="2">
        <v>45684</v>
      </c>
      <c r="B313" s="3" t="s">
        <v>485</v>
      </c>
      <c r="C313" s="3" t="s">
        <v>13</v>
      </c>
      <c r="D313" s="3" t="s">
        <v>14</v>
      </c>
      <c r="E313" s="3" t="s">
        <v>20</v>
      </c>
      <c r="F313" s="3" t="s">
        <v>29</v>
      </c>
      <c r="G313" s="3" t="s">
        <v>17</v>
      </c>
      <c r="H313" s="3">
        <v>14866</v>
      </c>
      <c r="I313" s="3">
        <v>925</v>
      </c>
      <c r="J313" s="3">
        <v>37</v>
      </c>
      <c r="K313" s="12">
        <v>1414.39</v>
      </c>
      <c r="L313" s="10">
        <v>4144.75</v>
      </c>
      <c r="M313" s="16">
        <f t="shared" si="20"/>
        <v>6.2222521189291002E-2</v>
      </c>
      <c r="N313" s="18">
        <f t="shared" si="21"/>
        <v>0.04</v>
      </c>
      <c r="O313" s="8">
        <f t="shared" si="22"/>
        <v>38.226756756756757</v>
      </c>
      <c r="P313" s="14">
        <f t="shared" si="23"/>
        <v>2730.3599999999997</v>
      </c>
      <c r="Q313" s="16">
        <f t="shared" si="24"/>
        <v>1.9304152320081445</v>
      </c>
    </row>
    <row r="314" spans="1:17" x14ac:dyDescent="0.2">
      <c r="A314" s="2">
        <v>45684</v>
      </c>
      <c r="B314" s="3" t="s">
        <v>332</v>
      </c>
      <c r="C314" s="3" t="s">
        <v>110</v>
      </c>
      <c r="D314" s="3" t="s">
        <v>24</v>
      </c>
      <c r="E314" s="3" t="s">
        <v>15</v>
      </c>
      <c r="F314" s="3" t="s">
        <v>50</v>
      </c>
      <c r="G314" s="3" t="s">
        <v>17</v>
      </c>
      <c r="H314" s="3">
        <v>2899</v>
      </c>
      <c r="I314" s="3">
        <v>247</v>
      </c>
      <c r="J314" s="3">
        <v>18</v>
      </c>
      <c r="K314" s="12">
        <v>85.64</v>
      </c>
      <c r="L314" s="10">
        <v>2481.34</v>
      </c>
      <c r="M314" s="16">
        <f t="shared" si="20"/>
        <v>8.520179372197309E-2</v>
      </c>
      <c r="N314" s="18">
        <f t="shared" si="21"/>
        <v>7.28744939271255E-2</v>
      </c>
      <c r="O314" s="8">
        <f t="shared" si="22"/>
        <v>4.7577777777777781</v>
      </c>
      <c r="P314" s="14">
        <f t="shared" si="23"/>
        <v>2395.7000000000003</v>
      </c>
      <c r="Q314" s="16">
        <f t="shared" si="24"/>
        <v>27.974077533862683</v>
      </c>
    </row>
    <row r="315" spans="1:17" x14ac:dyDescent="0.2">
      <c r="A315" s="2">
        <v>45684</v>
      </c>
      <c r="B315" s="3" t="s">
        <v>525</v>
      </c>
      <c r="C315" s="3" t="s">
        <v>71</v>
      </c>
      <c r="D315" s="3" t="s">
        <v>37</v>
      </c>
      <c r="E315" s="3" t="s">
        <v>15</v>
      </c>
      <c r="F315" s="3" t="s">
        <v>29</v>
      </c>
      <c r="G315" s="3" t="s">
        <v>17</v>
      </c>
      <c r="H315" s="3">
        <v>6688</v>
      </c>
      <c r="I315" s="3">
        <v>304</v>
      </c>
      <c r="J315" s="3">
        <v>6</v>
      </c>
      <c r="K315" s="12">
        <v>2132.58</v>
      </c>
      <c r="L315" s="10">
        <v>573.83000000000004</v>
      </c>
      <c r="M315" s="16">
        <f t="shared" si="20"/>
        <v>4.5454545454545456E-2</v>
      </c>
      <c r="N315" s="18">
        <f t="shared" si="21"/>
        <v>1.9736842105263157E-2</v>
      </c>
      <c r="O315" s="8">
        <f t="shared" si="22"/>
        <v>355.43</v>
      </c>
      <c r="P315" s="14">
        <f t="shared" si="23"/>
        <v>-1558.75</v>
      </c>
      <c r="Q315" s="16">
        <f t="shared" si="24"/>
        <v>-0.73092216939106625</v>
      </c>
    </row>
    <row r="316" spans="1:17" x14ac:dyDescent="0.2">
      <c r="A316" s="2">
        <v>45684</v>
      </c>
      <c r="B316" s="3" t="s">
        <v>695</v>
      </c>
      <c r="C316" s="3" t="s">
        <v>71</v>
      </c>
      <c r="D316" s="3" t="s">
        <v>37</v>
      </c>
      <c r="E316" s="3" t="s">
        <v>20</v>
      </c>
      <c r="F316" s="3" t="s">
        <v>29</v>
      </c>
      <c r="G316" s="3" t="s">
        <v>17</v>
      </c>
      <c r="H316" s="3">
        <v>4806</v>
      </c>
      <c r="I316" s="3">
        <v>121</v>
      </c>
      <c r="J316" s="3">
        <v>1</v>
      </c>
      <c r="K316" s="12">
        <v>808.79</v>
      </c>
      <c r="L316" s="10">
        <v>196.88</v>
      </c>
      <c r="M316" s="16">
        <f t="shared" si="20"/>
        <v>2.5176862255513941E-2</v>
      </c>
      <c r="N316" s="18">
        <f t="shared" si="21"/>
        <v>8.2644628099173556E-3</v>
      </c>
      <c r="O316" s="8">
        <f t="shared" si="22"/>
        <v>808.79</v>
      </c>
      <c r="P316" s="14">
        <f t="shared" si="23"/>
        <v>-611.91</v>
      </c>
      <c r="Q316" s="16">
        <f t="shared" si="24"/>
        <v>-0.75657463618491816</v>
      </c>
    </row>
    <row r="317" spans="1:17" x14ac:dyDescent="0.2">
      <c r="A317" s="2">
        <v>45684</v>
      </c>
      <c r="B317" s="3" t="s">
        <v>696</v>
      </c>
      <c r="C317" s="3" t="s">
        <v>41</v>
      </c>
      <c r="D317" s="3" t="s">
        <v>24</v>
      </c>
      <c r="E317" s="3" t="s">
        <v>31</v>
      </c>
      <c r="F317" s="3" t="s">
        <v>16</v>
      </c>
      <c r="G317" s="3" t="s">
        <v>17</v>
      </c>
      <c r="H317" s="3">
        <v>3884</v>
      </c>
      <c r="I317" s="3">
        <v>501</v>
      </c>
      <c r="J317" s="3">
        <v>79</v>
      </c>
      <c r="K317" s="12">
        <v>154.59</v>
      </c>
      <c r="L317" s="10">
        <v>6886.5</v>
      </c>
      <c r="M317" s="16">
        <f t="shared" si="20"/>
        <v>0.12899073120494337</v>
      </c>
      <c r="N317" s="18">
        <f t="shared" si="21"/>
        <v>0.15768463073852296</v>
      </c>
      <c r="O317" s="8">
        <f t="shared" si="22"/>
        <v>1.9568354430379746</v>
      </c>
      <c r="P317" s="14">
        <f t="shared" si="23"/>
        <v>6731.91</v>
      </c>
      <c r="Q317" s="16">
        <f t="shared" si="24"/>
        <v>43.546865903357265</v>
      </c>
    </row>
    <row r="318" spans="1:17" x14ac:dyDescent="0.2">
      <c r="A318" s="2">
        <v>45685</v>
      </c>
      <c r="B318" s="3" t="s">
        <v>496</v>
      </c>
      <c r="C318" s="3" t="s">
        <v>49</v>
      </c>
      <c r="D318" s="3" t="s">
        <v>46</v>
      </c>
      <c r="E318" s="3" t="s">
        <v>15</v>
      </c>
      <c r="F318" s="3" t="s">
        <v>47</v>
      </c>
      <c r="G318" s="3" t="s">
        <v>17</v>
      </c>
      <c r="H318" s="3">
        <v>13671</v>
      </c>
      <c r="I318" s="3">
        <v>549</v>
      </c>
      <c r="J318" s="3">
        <v>8</v>
      </c>
      <c r="K318" s="12">
        <v>592.26</v>
      </c>
      <c r="L318" s="10">
        <v>685.52</v>
      </c>
      <c r="M318" s="16">
        <f t="shared" si="20"/>
        <v>4.0157998683344305E-2</v>
      </c>
      <c r="N318" s="18">
        <f t="shared" si="21"/>
        <v>1.4571948998178506E-2</v>
      </c>
      <c r="O318" s="8">
        <f t="shared" si="22"/>
        <v>74.032499999999999</v>
      </c>
      <c r="P318" s="14">
        <f t="shared" si="23"/>
        <v>93.259999999999991</v>
      </c>
      <c r="Q318" s="16">
        <f t="shared" si="24"/>
        <v>0.15746462702191605</v>
      </c>
    </row>
    <row r="319" spans="1:17" x14ac:dyDescent="0.2">
      <c r="A319" s="2">
        <v>45685</v>
      </c>
      <c r="B319" s="3" t="s">
        <v>697</v>
      </c>
      <c r="C319" s="3" t="s">
        <v>110</v>
      </c>
      <c r="D319" s="3" t="s">
        <v>24</v>
      </c>
      <c r="E319" s="3" t="s">
        <v>20</v>
      </c>
      <c r="F319" s="3" t="s">
        <v>16</v>
      </c>
      <c r="G319" s="3" t="s">
        <v>17</v>
      </c>
      <c r="H319" s="3">
        <v>1242</v>
      </c>
      <c r="I319" s="3">
        <v>114</v>
      </c>
      <c r="J319" s="3">
        <v>8</v>
      </c>
      <c r="K319" s="12">
        <v>37.520000000000003</v>
      </c>
      <c r="L319" s="10">
        <v>895.06</v>
      </c>
      <c r="M319" s="16">
        <f t="shared" si="20"/>
        <v>9.1787439613526575E-2</v>
      </c>
      <c r="N319" s="18">
        <f t="shared" si="21"/>
        <v>7.0175438596491224E-2</v>
      </c>
      <c r="O319" s="8">
        <f t="shared" si="22"/>
        <v>4.6900000000000004</v>
      </c>
      <c r="P319" s="14">
        <f t="shared" si="23"/>
        <v>857.54</v>
      </c>
      <c r="Q319" s="16">
        <f t="shared" si="24"/>
        <v>22.855543710021319</v>
      </c>
    </row>
    <row r="320" spans="1:17" x14ac:dyDescent="0.2">
      <c r="A320" s="2">
        <v>45685</v>
      </c>
      <c r="B320" s="3" t="s">
        <v>141</v>
      </c>
      <c r="C320" s="3" t="s">
        <v>110</v>
      </c>
      <c r="D320" s="3" t="s">
        <v>24</v>
      </c>
      <c r="E320" s="3" t="s">
        <v>20</v>
      </c>
      <c r="F320" s="3" t="s">
        <v>50</v>
      </c>
      <c r="G320" s="3" t="s">
        <v>17</v>
      </c>
      <c r="H320" s="3">
        <v>2813</v>
      </c>
      <c r="I320" s="3">
        <v>402</v>
      </c>
      <c r="J320" s="3">
        <v>39</v>
      </c>
      <c r="K320" s="12">
        <v>181.35</v>
      </c>
      <c r="L320" s="10">
        <v>4596.54</v>
      </c>
      <c r="M320" s="16">
        <f t="shared" si="20"/>
        <v>0.14290792747955919</v>
      </c>
      <c r="N320" s="18">
        <f t="shared" si="21"/>
        <v>9.7014925373134331E-2</v>
      </c>
      <c r="O320" s="8">
        <f t="shared" si="22"/>
        <v>4.6499999999999995</v>
      </c>
      <c r="P320" s="14">
        <f t="shared" si="23"/>
        <v>4415.1899999999996</v>
      </c>
      <c r="Q320" s="16">
        <f t="shared" si="24"/>
        <v>24.346236559139783</v>
      </c>
    </row>
    <row r="321" spans="1:17" x14ac:dyDescent="0.2">
      <c r="A321" s="2">
        <v>45685</v>
      </c>
      <c r="B321" s="3" t="s">
        <v>378</v>
      </c>
      <c r="C321" s="3" t="s">
        <v>74</v>
      </c>
      <c r="D321" s="3" t="s">
        <v>28</v>
      </c>
      <c r="E321" s="3" t="s">
        <v>20</v>
      </c>
      <c r="F321" s="3" t="s">
        <v>29</v>
      </c>
      <c r="G321" s="3" t="s">
        <v>21</v>
      </c>
      <c r="H321" s="3">
        <v>29880</v>
      </c>
      <c r="I321" s="3">
        <v>831</v>
      </c>
      <c r="J321" s="3">
        <v>13</v>
      </c>
      <c r="K321" s="12">
        <v>968.04</v>
      </c>
      <c r="L321" s="10">
        <v>871.66</v>
      </c>
      <c r="M321" s="16">
        <f t="shared" si="20"/>
        <v>2.7811244979919679E-2</v>
      </c>
      <c r="N321" s="18">
        <f t="shared" si="21"/>
        <v>1.5643802647412757E-2</v>
      </c>
      <c r="O321" s="8">
        <f t="shared" si="22"/>
        <v>74.464615384615385</v>
      </c>
      <c r="P321" s="14">
        <f t="shared" si="23"/>
        <v>-96.38</v>
      </c>
      <c r="Q321" s="16">
        <f t="shared" si="24"/>
        <v>-9.9562001570183051E-2</v>
      </c>
    </row>
    <row r="322" spans="1:17" x14ac:dyDescent="0.2">
      <c r="A322" s="2">
        <v>45685</v>
      </c>
      <c r="B322" s="3" t="s">
        <v>698</v>
      </c>
      <c r="C322" s="3" t="s">
        <v>52</v>
      </c>
      <c r="D322" s="3" t="s">
        <v>24</v>
      </c>
      <c r="E322" s="3" t="s">
        <v>20</v>
      </c>
      <c r="F322" s="3" t="s">
        <v>50</v>
      </c>
      <c r="G322" s="3" t="s">
        <v>17</v>
      </c>
      <c r="H322" s="3">
        <v>2195</v>
      </c>
      <c r="I322" s="3">
        <v>243</v>
      </c>
      <c r="J322" s="3">
        <v>30</v>
      </c>
      <c r="K322" s="12">
        <v>63.56</v>
      </c>
      <c r="L322" s="10">
        <v>4399.82</v>
      </c>
      <c r="M322" s="16">
        <f t="shared" si="20"/>
        <v>0.11070615034168566</v>
      </c>
      <c r="N322" s="18">
        <f t="shared" si="21"/>
        <v>0.12345679012345678</v>
      </c>
      <c r="O322" s="8">
        <f t="shared" si="22"/>
        <v>2.1186666666666669</v>
      </c>
      <c r="P322" s="14">
        <f t="shared" si="23"/>
        <v>4336.2599999999993</v>
      </c>
      <c r="Q322" s="16">
        <f t="shared" si="24"/>
        <v>68.223096286972932</v>
      </c>
    </row>
    <row r="323" spans="1:17" x14ac:dyDescent="0.2">
      <c r="A323" s="2">
        <v>45685</v>
      </c>
      <c r="B323" s="3" t="s">
        <v>126</v>
      </c>
      <c r="C323" s="3" t="s">
        <v>120</v>
      </c>
      <c r="D323" s="3" t="s">
        <v>14</v>
      </c>
      <c r="E323" s="3" t="s">
        <v>20</v>
      </c>
      <c r="F323" s="3" t="s">
        <v>16</v>
      </c>
      <c r="G323" s="3" t="s">
        <v>17</v>
      </c>
      <c r="H323" s="3">
        <v>10871</v>
      </c>
      <c r="I323" s="3">
        <v>635</v>
      </c>
      <c r="J323" s="3">
        <v>20</v>
      </c>
      <c r="K323" s="12">
        <v>968.29</v>
      </c>
      <c r="L323" s="10">
        <v>1678.26</v>
      </c>
      <c r="M323" s="16">
        <f t="shared" ref="M323:M386" si="25">IFERROR(I323/H323,0)</f>
        <v>5.8412289577775736E-2</v>
      </c>
      <c r="N323" s="18">
        <f t="shared" ref="N323:N386" si="26">IFERROR(J323/I323,0)</f>
        <v>3.1496062992125984E-2</v>
      </c>
      <c r="O323" s="8">
        <f t="shared" ref="O323:O386" si="27">IFERROR(K323/J323,0)</f>
        <v>48.414499999999997</v>
      </c>
      <c r="P323" s="14">
        <f t="shared" ref="P323:P386" si="28">L323-K323</f>
        <v>709.97</v>
      </c>
      <c r="Q323" s="16">
        <f t="shared" ref="Q323:Q386" si="29">IFERROR((L323-K323)/K323,0)</f>
        <v>0.73322041950242189</v>
      </c>
    </row>
    <row r="324" spans="1:17" x14ac:dyDescent="0.2">
      <c r="A324" s="2">
        <v>45685</v>
      </c>
      <c r="B324" s="3" t="s">
        <v>192</v>
      </c>
      <c r="C324" s="3" t="s">
        <v>71</v>
      </c>
      <c r="D324" s="3" t="s">
        <v>37</v>
      </c>
      <c r="E324" s="3" t="s">
        <v>20</v>
      </c>
      <c r="F324" s="3" t="s">
        <v>29</v>
      </c>
      <c r="G324" s="3" t="s">
        <v>17</v>
      </c>
      <c r="H324" s="3">
        <v>2098</v>
      </c>
      <c r="I324" s="3">
        <v>79</v>
      </c>
      <c r="J324" s="3">
        <v>1</v>
      </c>
      <c r="K324" s="12">
        <v>386.07</v>
      </c>
      <c r="L324" s="10">
        <v>22.11</v>
      </c>
      <c r="M324" s="16">
        <f t="shared" si="25"/>
        <v>3.7654909437559579E-2</v>
      </c>
      <c r="N324" s="18">
        <f t="shared" si="26"/>
        <v>1.2658227848101266E-2</v>
      </c>
      <c r="O324" s="8">
        <f t="shared" si="27"/>
        <v>386.07</v>
      </c>
      <c r="P324" s="14">
        <f t="shared" si="28"/>
        <v>-363.96</v>
      </c>
      <c r="Q324" s="16">
        <f t="shared" si="29"/>
        <v>-0.94273059289766103</v>
      </c>
    </row>
    <row r="325" spans="1:17" x14ac:dyDescent="0.2">
      <c r="A325" s="2">
        <v>45685</v>
      </c>
      <c r="B325" s="3" t="s">
        <v>699</v>
      </c>
      <c r="C325" s="3" t="s">
        <v>74</v>
      </c>
      <c r="D325" s="3" t="s">
        <v>28</v>
      </c>
      <c r="E325" s="3" t="s">
        <v>20</v>
      </c>
      <c r="F325" s="3" t="s">
        <v>50</v>
      </c>
      <c r="G325" s="3" t="s">
        <v>17</v>
      </c>
      <c r="H325" s="3">
        <v>16123</v>
      </c>
      <c r="I325" s="3">
        <v>519</v>
      </c>
      <c r="J325" s="3">
        <v>5</v>
      </c>
      <c r="K325" s="12">
        <v>813.41</v>
      </c>
      <c r="L325" s="10">
        <v>234.98</v>
      </c>
      <c r="M325" s="16">
        <f t="shared" si="25"/>
        <v>3.2190039074613909E-2</v>
      </c>
      <c r="N325" s="18">
        <f t="shared" si="26"/>
        <v>9.6339113680154135E-3</v>
      </c>
      <c r="O325" s="8">
        <f t="shared" si="27"/>
        <v>162.68199999999999</v>
      </c>
      <c r="P325" s="14">
        <f t="shared" si="28"/>
        <v>-578.42999999999995</v>
      </c>
      <c r="Q325" s="16">
        <f t="shared" si="29"/>
        <v>-0.71111739467181367</v>
      </c>
    </row>
    <row r="326" spans="1:17" x14ac:dyDescent="0.2">
      <c r="A326" s="2">
        <v>45685</v>
      </c>
      <c r="B326" s="3" t="s">
        <v>63</v>
      </c>
      <c r="C326" s="3" t="s">
        <v>54</v>
      </c>
      <c r="D326" s="3" t="s">
        <v>14</v>
      </c>
      <c r="E326" s="3" t="s">
        <v>15</v>
      </c>
      <c r="F326" s="3" t="s">
        <v>16</v>
      </c>
      <c r="G326" s="3" t="s">
        <v>21</v>
      </c>
      <c r="H326" s="3">
        <v>10540</v>
      </c>
      <c r="I326" s="3">
        <v>268</v>
      </c>
      <c r="J326" s="3">
        <v>7</v>
      </c>
      <c r="K326" s="12">
        <v>638.71</v>
      </c>
      <c r="L326" s="10">
        <v>740.97</v>
      </c>
      <c r="M326" s="16">
        <f t="shared" si="25"/>
        <v>2.5426944971537004E-2</v>
      </c>
      <c r="N326" s="18">
        <f t="shared" si="26"/>
        <v>2.6119402985074626E-2</v>
      </c>
      <c r="O326" s="8">
        <f t="shared" si="27"/>
        <v>91.244285714285724</v>
      </c>
      <c r="P326" s="14">
        <f t="shared" si="28"/>
        <v>102.25999999999999</v>
      </c>
      <c r="Q326" s="16">
        <f t="shared" si="29"/>
        <v>0.16010395954345474</v>
      </c>
    </row>
    <row r="327" spans="1:17" x14ac:dyDescent="0.2">
      <c r="A327" s="2">
        <v>45685</v>
      </c>
      <c r="B327" s="3" t="s">
        <v>355</v>
      </c>
      <c r="C327" s="3" t="s">
        <v>74</v>
      </c>
      <c r="D327" s="3" t="s">
        <v>28</v>
      </c>
      <c r="E327" s="3" t="s">
        <v>20</v>
      </c>
      <c r="F327" s="3" t="s">
        <v>50</v>
      </c>
      <c r="G327" s="3" t="s">
        <v>17</v>
      </c>
      <c r="H327" s="3">
        <v>19751</v>
      </c>
      <c r="I327" s="3">
        <v>622</v>
      </c>
      <c r="J327" s="3">
        <v>9</v>
      </c>
      <c r="K327" s="12">
        <v>545.34</v>
      </c>
      <c r="L327" s="10">
        <v>595.34</v>
      </c>
      <c r="M327" s="16">
        <f t="shared" si="25"/>
        <v>3.149207635056453E-2</v>
      </c>
      <c r="N327" s="18">
        <f t="shared" si="26"/>
        <v>1.4469453376205787E-2</v>
      </c>
      <c r="O327" s="8">
        <f t="shared" si="27"/>
        <v>60.593333333333334</v>
      </c>
      <c r="P327" s="14">
        <f t="shared" si="28"/>
        <v>50</v>
      </c>
      <c r="Q327" s="16">
        <f t="shared" si="29"/>
        <v>9.1685920710015759E-2</v>
      </c>
    </row>
    <row r="328" spans="1:17" x14ac:dyDescent="0.2">
      <c r="A328" s="2">
        <v>45685</v>
      </c>
      <c r="B328" s="3" t="s">
        <v>700</v>
      </c>
      <c r="C328" s="3" t="s">
        <v>71</v>
      </c>
      <c r="D328" s="3" t="s">
        <v>37</v>
      </c>
      <c r="E328" s="3" t="s">
        <v>20</v>
      </c>
      <c r="F328" s="3" t="s">
        <v>34</v>
      </c>
      <c r="G328" s="3" t="s">
        <v>17</v>
      </c>
      <c r="H328" s="3">
        <v>3951</v>
      </c>
      <c r="I328" s="3">
        <v>137</v>
      </c>
      <c r="J328" s="3">
        <v>4</v>
      </c>
      <c r="K328" s="12">
        <v>920.69</v>
      </c>
      <c r="L328" s="10">
        <v>651.1</v>
      </c>
      <c r="M328" s="16">
        <f t="shared" si="25"/>
        <v>3.4674765882055175E-2</v>
      </c>
      <c r="N328" s="18">
        <f t="shared" si="26"/>
        <v>2.9197080291970802E-2</v>
      </c>
      <c r="O328" s="8">
        <f t="shared" si="27"/>
        <v>230.17250000000001</v>
      </c>
      <c r="P328" s="14">
        <f t="shared" si="28"/>
        <v>-269.59000000000003</v>
      </c>
      <c r="Q328" s="16">
        <f t="shared" si="29"/>
        <v>-0.29281299894644236</v>
      </c>
    </row>
    <row r="329" spans="1:17" x14ac:dyDescent="0.2">
      <c r="A329" s="2">
        <v>45685</v>
      </c>
      <c r="B329" s="3" t="s">
        <v>701</v>
      </c>
      <c r="C329" s="3" t="s">
        <v>45</v>
      </c>
      <c r="D329" s="3" t="s">
        <v>46</v>
      </c>
      <c r="E329" s="3" t="s">
        <v>20</v>
      </c>
      <c r="F329" s="3" t="s">
        <v>50</v>
      </c>
      <c r="G329" s="3" t="s">
        <v>17</v>
      </c>
      <c r="H329" s="3">
        <v>18764</v>
      </c>
      <c r="I329" s="3">
        <v>758</v>
      </c>
      <c r="J329" s="3">
        <v>11</v>
      </c>
      <c r="K329" s="12">
        <v>1581.77</v>
      </c>
      <c r="L329" s="10">
        <v>1082.08</v>
      </c>
      <c r="M329" s="16">
        <f t="shared" si="25"/>
        <v>4.0396503943722017E-2</v>
      </c>
      <c r="N329" s="18">
        <f t="shared" si="26"/>
        <v>1.4511873350923483E-2</v>
      </c>
      <c r="O329" s="8">
        <f t="shared" si="27"/>
        <v>143.79727272727271</v>
      </c>
      <c r="P329" s="14">
        <f t="shared" si="28"/>
        <v>-499.69000000000005</v>
      </c>
      <c r="Q329" s="16">
        <f t="shared" si="29"/>
        <v>-0.31590559942343077</v>
      </c>
    </row>
    <row r="330" spans="1:17" x14ac:dyDescent="0.2">
      <c r="A330" s="2">
        <v>45685</v>
      </c>
      <c r="B330" s="3" t="s">
        <v>702</v>
      </c>
      <c r="C330" s="3" t="s">
        <v>74</v>
      </c>
      <c r="D330" s="3" t="s">
        <v>28</v>
      </c>
      <c r="E330" s="3" t="s">
        <v>20</v>
      </c>
      <c r="F330" s="3" t="s">
        <v>34</v>
      </c>
      <c r="G330" s="3" t="s">
        <v>17</v>
      </c>
      <c r="H330" s="3">
        <v>16714</v>
      </c>
      <c r="I330" s="3">
        <v>470</v>
      </c>
      <c r="J330" s="3">
        <v>7</v>
      </c>
      <c r="K330" s="12">
        <v>458.01</v>
      </c>
      <c r="L330" s="10">
        <v>533.77</v>
      </c>
      <c r="M330" s="16">
        <f t="shared" si="25"/>
        <v>2.8120138805791551E-2</v>
      </c>
      <c r="N330" s="18">
        <f t="shared" si="26"/>
        <v>1.4893617021276596E-2</v>
      </c>
      <c r="O330" s="8">
        <f t="shared" si="27"/>
        <v>65.429999999999993</v>
      </c>
      <c r="P330" s="14">
        <f t="shared" si="28"/>
        <v>75.759999999999991</v>
      </c>
      <c r="Q330" s="16">
        <f t="shared" si="29"/>
        <v>0.16541123556254228</v>
      </c>
    </row>
    <row r="331" spans="1:17" x14ac:dyDescent="0.2">
      <c r="A331" s="2">
        <v>45685</v>
      </c>
      <c r="B331" s="3" t="s">
        <v>171</v>
      </c>
      <c r="C331" s="3" t="s">
        <v>52</v>
      </c>
      <c r="D331" s="3" t="s">
        <v>24</v>
      </c>
      <c r="E331" s="3" t="s">
        <v>20</v>
      </c>
      <c r="F331" s="3" t="s">
        <v>50</v>
      </c>
      <c r="G331" s="3" t="s">
        <v>17</v>
      </c>
      <c r="H331" s="3">
        <v>3738</v>
      </c>
      <c r="I331" s="3">
        <v>442</v>
      </c>
      <c r="J331" s="3">
        <v>38</v>
      </c>
      <c r="K331" s="12">
        <v>199.61</v>
      </c>
      <c r="L331" s="10">
        <v>5383.56</v>
      </c>
      <c r="M331" s="16">
        <f t="shared" si="25"/>
        <v>0.11824505082932049</v>
      </c>
      <c r="N331" s="18">
        <f t="shared" si="26"/>
        <v>8.5972850678733032E-2</v>
      </c>
      <c r="O331" s="8">
        <f t="shared" si="27"/>
        <v>5.2528947368421059</v>
      </c>
      <c r="P331" s="14">
        <f t="shared" si="28"/>
        <v>5183.9500000000007</v>
      </c>
      <c r="Q331" s="16">
        <f t="shared" si="29"/>
        <v>25.97039226491659</v>
      </c>
    </row>
    <row r="332" spans="1:17" x14ac:dyDescent="0.2">
      <c r="A332" s="2">
        <v>45685</v>
      </c>
      <c r="B332" s="3" t="s">
        <v>703</v>
      </c>
      <c r="C332" s="3" t="s">
        <v>52</v>
      </c>
      <c r="D332" s="3" t="s">
        <v>24</v>
      </c>
      <c r="E332" s="3" t="s">
        <v>20</v>
      </c>
      <c r="F332" s="3" t="s">
        <v>34</v>
      </c>
      <c r="G332" s="3" t="s">
        <v>17</v>
      </c>
      <c r="H332" s="4">
        <v>2225</v>
      </c>
      <c r="I332" s="3">
        <v>203</v>
      </c>
      <c r="J332" s="3">
        <v>17</v>
      </c>
      <c r="K332" s="12">
        <v>45.09</v>
      </c>
      <c r="L332" s="10">
        <v>2105</v>
      </c>
      <c r="M332" s="16">
        <f t="shared" si="25"/>
        <v>9.1235955056179777E-2</v>
      </c>
      <c r="N332" s="18">
        <f t="shared" si="26"/>
        <v>8.3743842364532015E-2</v>
      </c>
      <c r="O332" s="8">
        <f t="shared" si="27"/>
        <v>2.6523529411764706</v>
      </c>
      <c r="P332" s="14">
        <f t="shared" si="28"/>
        <v>2059.91</v>
      </c>
      <c r="Q332" s="16">
        <f t="shared" si="29"/>
        <v>45.684408959858054</v>
      </c>
    </row>
    <row r="333" spans="1:17" x14ac:dyDescent="0.2">
      <c r="A333" s="2">
        <v>45685</v>
      </c>
      <c r="B333" s="3" t="s">
        <v>704</v>
      </c>
      <c r="C333" s="3" t="s">
        <v>13</v>
      </c>
      <c r="D333" s="3" t="s">
        <v>14</v>
      </c>
      <c r="E333" s="3" t="s">
        <v>31</v>
      </c>
      <c r="F333" s="3" t="s">
        <v>50</v>
      </c>
      <c r="G333" s="3" t="s">
        <v>17</v>
      </c>
      <c r="H333" s="4">
        <v>13214</v>
      </c>
      <c r="I333" s="3">
        <v>562</v>
      </c>
      <c r="J333" s="3">
        <v>22</v>
      </c>
      <c r="K333" s="12">
        <v>1600.05</v>
      </c>
      <c r="L333" s="10">
        <v>2563.9</v>
      </c>
      <c r="M333" s="16">
        <f t="shared" si="25"/>
        <v>4.253064931133646E-2</v>
      </c>
      <c r="N333" s="18">
        <f t="shared" si="26"/>
        <v>3.9145907473309607E-2</v>
      </c>
      <c r="O333" s="8">
        <f t="shared" si="27"/>
        <v>72.729545454545459</v>
      </c>
      <c r="P333" s="14">
        <f t="shared" si="28"/>
        <v>963.85000000000014</v>
      </c>
      <c r="Q333" s="16">
        <f t="shared" si="29"/>
        <v>0.60238742539295653</v>
      </c>
    </row>
    <row r="334" spans="1:17" x14ac:dyDescent="0.2">
      <c r="A334" s="2">
        <v>45685</v>
      </c>
      <c r="B334" s="3" t="s">
        <v>705</v>
      </c>
      <c r="C334" s="3" t="s">
        <v>45</v>
      </c>
      <c r="D334" s="3" t="s">
        <v>46</v>
      </c>
      <c r="E334" s="3" t="s">
        <v>20</v>
      </c>
      <c r="F334" s="3" t="s">
        <v>29</v>
      </c>
      <c r="G334" s="3" t="s">
        <v>17</v>
      </c>
      <c r="H334" s="4">
        <v>19472</v>
      </c>
      <c r="I334" s="3">
        <v>500</v>
      </c>
      <c r="J334" s="3">
        <v>11</v>
      </c>
      <c r="K334" s="12">
        <v>673.41</v>
      </c>
      <c r="L334" s="10">
        <v>739.15</v>
      </c>
      <c r="M334" s="16">
        <f t="shared" si="25"/>
        <v>2.5677896466721445E-2</v>
      </c>
      <c r="N334" s="18">
        <f t="shared" si="26"/>
        <v>2.1999999999999999E-2</v>
      </c>
      <c r="O334" s="8">
        <f t="shared" si="27"/>
        <v>61.219090909090909</v>
      </c>
      <c r="P334" s="14">
        <f t="shared" si="28"/>
        <v>65.740000000000009</v>
      </c>
      <c r="Q334" s="16">
        <f t="shared" si="29"/>
        <v>9.7622547927711217E-2</v>
      </c>
    </row>
    <row r="335" spans="1:17" x14ac:dyDescent="0.2">
      <c r="A335" s="2">
        <v>45685</v>
      </c>
      <c r="B335" s="3" t="s">
        <v>706</v>
      </c>
      <c r="C335" s="3" t="s">
        <v>74</v>
      </c>
      <c r="D335" s="3" t="s">
        <v>28</v>
      </c>
      <c r="E335" s="3" t="s">
        <v>20</v>
      </c>
      <c r="F335" s="3" t="s">
        <v>50</v>
      </c>
      <c r="G335" s="3" t="s">
        <v>17</v>
      </c>
      <c r="H335" s="4">
        <v>19074</v>
      </c>
      <c r="I335" s="3">
        <v>473</v>
      </c>
      <c r="J335" s="3">
        <v>3</v>
      </c>
      <c r="K335" s="12">
        <v>574.03</v>
      </c>
      <c r="L335" s="10">
        <v>215.52</v>
      </c>
      <c r="M335" s="16">
        <f t="shared" si="25"/>
        <v>2.4798154555940023E-2</v>
      </c>
      <c r="N335" s="18">
        <f t="shared" si="26"/>
        <v>6.3424947145877377E-3</v>
      </c>
      <c r="O335" s="8">
        <f t="shared" si="27"/>
        <v>191.34333333333333</v>
      </c>
      <c r="P335" s="14">
        <f t="shared" si="28"/>
        <v>-358.51</v>
      </c>
      <c r="Q335" s="16">
        <f t="shared" si="29"/>
        <v>-0.62454923958678121</v>
      </c>
    </row>
    <row r="336" spans="1:17" x14ac:dyDescent="0.2">
      <c r="A336" s="2">
        <v>45685</v>
      </c>
      <c r="B336" s="3" t="s">
        <v>323</v>
      </c>
      <c r="C336" s="3" t="s">
        <v>33</v>
      </c>
      <c r="D336" s="3" t="s">
        <v>28</v>
      </c>
      <c r="E336" s="3" t="s">
        <v>20</v>
      </c>
      <c r="F336" s="3" t="s">
        <v>50</v>
      </c>
      <c r="G336" s="3" t="s">
        <v>25</v>
      </c>
      <c r="H336" s="4">
        <v>16781</v>
      </c>
      <c r="I336" s="3">
        <v>330</v>
      </c>
      <c r="J336" s="3">
        <v>2</v>
      </c>
      <c r="K336" s="12">
        <v>486.92</v>
      </c>
      <c r="L336" s="10">
        <v>121.61</v>
      </c>
      <c r="M336" s="16">
        <f t="shared" si="25"/>
        <v>1.9665097431619094E-2</v>
      </c>
      <c r="N336" s="18">
        <f t="shared" si="26"/>
        <v>6.0606060606060606E-3</v>
      </c>
      <c r="O336" s="8">
        <f t="shared" si="27"/>
        <v>243.46</v>
      </c>
      <c r="P336" s="14">
        <f t="shared" si="28"/>
        <v>-365.31</v>
      </c>
      <c r="Q336" s="16">
        <f t="shared" si="29"/>
        <v>-0.75024644705495769</v>
      </c>
    </row>
    <row r="337" spans="1:17" x14ac:dyDescent="0.2">
      <c r="A337" s="2">
        <v>45686</v>
      </c>
      <c r="B337" s="3" t="s">
        <v>174</v>
      </c>
      <c r="C337" s="3" t="s">
        <v>41</v>
      </c>
      <c r="D337" s="3" t="s">
        <v>24</v>
      </c>
      <c r="E337" s="3" t="s">
        <v>20</v>
      </c>
      <c r="F337" s="3" t="s">
        <v>50</v>
      </c>
      <c r="G337" s="3" t="s">
        <v>17</v>
      </c>
      <c r="H337" s="4">
        <v>4059</v>
      </c>
      <c r="I337" s="3">
        <v>645</v>
      </c>
      <c r="J337" s="3">
        <v>90</v>
      </c>
      <c r="K337" s="12">
        <v>332.21</v>
      </c>
      <c r="L337" s="10">
        <v>7652.48</v>
      </c>
      <c r="M337" s="16">
        <f t="shared" si="25"/>
        <v>0.15890613451589061</v>
      </c>
      <c r="N337" s="18">
        <f t="shared" si="26"/>
        <v>0.13953488372093023</v>
      </c>
      <c r="O337" s="8">
        <f t="shared" si="27"/>
        <v>3.6912222222222222</v>
      </c>
      <c r="P337" s="14">
        <f t="shared" si="28"/>
        <v>7320.2699999999995</v>
      </c>
      <c r="Q337" s="16">
        <f t="shared" si="29"/>
        <v>22.035068179765812</v>
      </c>
    </row>
    <row r="338" spans="1:17" x14ac:dyDescent="0.2">
      <c r="A338" s="2">
        <v>45686</v>
      </c>
      <c r="B338" s="3" t="s">
        <v>64</v>
      </c>
      <c r="C338" s="3" t="s">
        <v>45</v>
      </c>
      <c r="D338" s="3" t="s">
        <v>46</v>
      </c>
      <c r="E338" s="3" t="s">
        <v>20</v>
      </c>
      <c r="F338" s="3" t="s">
        <v>34</v>
      </c>
      <c r="G338" s="3" t="s">
        <v>21</v>
      </c>
      <c r="H338" s="4">
        <v>9292</v>
      </c>
      <c r="I338" s="3">
        <v>305</v>
      </c>
      <c r="J338" s="3">
        <v>5</v>
      </c>
      <c r="K338" s="12">
        <v>397.22</v>
      </c>
      <c r="L338" s="10">
        <v>480.32</v>
      </c>
      <c r="M338" s="16">
        <f t="shared" si="25"/>
        <v>3.2823934567369782E-2</v>
      </c>
      <c r="N338" s="18">
        <f t="shared" si="26"/>
        <v>1.6393442622950821E-2</v>
      </c>
      <c r="O338" s="8">
        <f t="shared" si="27"/>
        <v>79.444000000000003</v>
      </c>
      <c r="P338" s="14">
        <f t="shared" si="28"/>
        <v>83.099999999999966</v>
      </c>
      <c r="Q338" s="16">
        <f t="shared" si="29"/>
        <v>0.20920396757464368</v>
      </c>
    </row>
    <row r="339" spans="1:17" x14ac:dyDescent="0.2">
      <c r="A339" s="2">
        <v>45686</v>
      </c>
      <c r="B339" s="3" t="s">
        <v>398</v>
      </c>
      <c r="C339" s="3" t="s">
        <v>41</v>
      </c>
      <c r="D339" s="3" t="s">
        <v>24</v>
      </c>
      <c r="E339" s="3" t="s">
        <v>31</v>
      </c>
      <c r="F339" s="3" t="s">
        <v>47</v>
      </c>
      <c r="G339" s="3" t="s">
        <v>17</v>
      </c>
      <c r="H339" s="4">
        <v>3029</v>
      </c>
      <c r="I339" s="3">
        <v>425</v>
      </c>
      <c r="J339" s="3">
        <v>61</v>
      </c>
      <c r="K339" s="12">
        <v>138.16</v>
      </c>
      <c r="L339" s="10">
        <v>9472.69</v>
      </c>
      <c r="M339" s="16">
        <f t="shared" si="25"/>
        <v>0.14031033344338065</v>
      </c>
      <c r="N339" s="18">
        <f t="shared" si="26"/>
        <v>0.14352941176470588</v>
      </c>
      <c r="O339" s="8">
        <f t="shared" si="27"/>
        <v>2.264918032786885</v>
      </c>
      <c r="P339" s="14">
        <f t="shared" si="28"/>
        <v>9334.5300000000007</v>
      </c>
      <c r="Q339" s="16">
        <f t="shared" si="29"/>
        <v>67.563187608569777</v>
      </c>
    </row>
    <row r="340" spans="1:17" x14ac:dyDescent="0.2">
      <c r="A340" s="2">
        <v>45686</v>
      </c>
      <c r="B340" s="3" t="s">
        <v>707</v>
      </c>
      <c r="C340" s="3" t="s">
        <v>23</v>
      </c>
      <c r="D340" s="3" t="s">
        <v>24</v>
      </c>
      <c r="E340" s="3" t="s">
        <v>31</v>
      </c>
      <c r="F340" s="3" t="s">
        <v>47</v>
      </c>
      <c r="G340" s="3" t="s">
        <v>17</v>
      </c>
      <c r="H340" s="4">
        <v>1235</v>
      </c>
      <c r="I340" s="3">
        <v>198</v>
      </c>
      <c r="J340" s="3">
        <v>44</v>
      </c>
      <c r="K340" s="12">
        <v>99.24</v>
      </c>
      <c r="L340" s="10">
        <v>3914.68</v>
      </c>
      <c r="M340" s="16">
        <f t="shared" si="25"/>
        <v>0.16032388663967612</v>
      </c>
      <c r="N340" s="18">
        <f t="shared" si="26"/>
        <v>0.22222222222222221</v>
      </c>
      <c r="O340" s="8">
        <f t="shared" si="27"/>
        <v>2.2554545454545454</v>
      </c>
      <c r="P340" s="14">
        <f t="shared" si="28"/>
        <v>3815.44</v>
      </c>
      <c r="Q340" s="16">
        <f t="shared" si="29"/>
        <v>38.446594115276099</v>
      </c>
    </row>
    <row r="341" spans="1:17" x14ac:dyDescent="0.2">
      <c r="A341" s="2">
        <v>45686</v>
      </c>
      <c r="B341" s="3" t="s">
        <v>708</v>
      </c>
      <c r="C341" s="3" t="s">
        <v>97</v>
      </c>
      <c r="D341" s="3" t="s">
        <v>46</v>
      </c>
      <c r="E341" s="3" t="s">
        <v>20</v>
      </c>
      <c r="F341" s="3" t="s">
        <v>47</v>
      </c>
      <c r="G341" s="3" t="s">
        <v>17</v>
      </c>
      <c r="H341" s="4">
        <v>13123</v>
      </c>
      <c r="I341" s="3">
        <v>537</v>
      </c>
      <c r="J341" s="3">
        <v>13</v>
      </c>
      <c r="K341" s="12">
        <v>1085.6600000000001</v>
      </c>
      <c r="L341" s="10">
        <v>751.1</v>
      </c>
      <c r="M341" s="16">
        <f t="shared" si="25"/>
        <v>4.0920521222281493E-2</v>
      </c>
      <c r="N341" s="18">
        <f t="shared" si="26"/>
        <v>2.4208566108007448E-2</v>
      </c>
      <c r="O341" s="8">
        <f t="shared" si="27"/>
        <v>83.512307692307701</v>
      </c>
      <c r="P341" s="14">
        <f t="shared" si="28"/>
        <v>-334.56000000000006</v>
      </c>
      <c r="Q341" s="16">
        <f t="shared" si="29"/>
        <v>-0.30816277655988067</v>
      </c>
    </row>
    <row r="342" spans="1:17" x14ac:dyDescent="0.2">
      <c r="A342" s="2">
        <v>45686</v>
      </c>
      <c r="B342" s="3" t="s">
        <v>709</v>
      </c>
      <c r="C342" s="3" t="s">
        <v>54</v>
      </c>
      <c r="D342" s="3" t="s">
        <v>14</v>
      </c>
      <c r="E342" s="3" t="s">
        <v>31</v>
      </c>
      <c r="F342" s="3" t="s">
        <v>29</v>
      </c>
      <c r="G342" s="3" t="s">
        <v>17</v>
      </c>
      <c r="H342" s="4">
        <v>9229</v>
      </c>
      <c r="I342" s="3">
        <v>636</v>
      </c>
      <c r="J342" s="3">
        <v>37</v>
      </c>
      <c r="K342" s="12">
        <v>1741.27</v>
      </c>
      <c r="L342" s="10">
        <v>2824.25</v>
      </c>
      <c r="M342" s="16">
        <f t="shared" si="25"/>
        <v>6.8913208364936612E-2</v>
      </c>
      <c r="N342" s="18">
        <f t="shared" si="26"/>
        <v>5.8176100628930819E-2</v>
      </c>
      <c r="O342" s="8">
        <f t="shared" si="27"/>
        <v>47.061351351351348</v>
      </c>
      <c r="P342" s="14">
        <f t="shared" si="28"/>
        <v>1082.98</v>
      </c>
      <c r="Q342" s="16">
        <f t="shared" si="29"/>
        <v>0.62194834804481791</v>
      </c>
    </row>
    <row r="343" spans="1:17" x14ac:dyDescent="0.2">
      <c r="A343" s="2">
        <v>45686</v>
      </c>
      <c r="B343" s="3" t="s">
        <v>470</v>
      </c>
      <c r="C343" s="3" t="s">
        <v>33</v>
      </c>
      <c r="D343" s="3" t="s">
        <v>28</v>
      </c>
      <c r="E343" s="3" t="s">
        <v>20</v>
      </c>
      <c r="F343" s="3" t="s">
        <v>29</v>
      </c>
      <c r="G343" s="3" t="s">
        <v>17</v>
      </c>
      <c r="H343" s="4">
        <v>24348</v>
      </c>
      <c r="I343" s="3">
        <v>460</v>
      </c>
      <c r="J343" s="3">
        <v>7</v>
      </c>
      <c r="K343" s="12">
        <v>502.16</v>
      </c>
      <c r="L343" s="10">
        <v>284.55</v>
      </c>
      <c r="M343" s="16">
        <f t="shared" si="25"/>
        <v>1.8892722194841467E-2</v>
      </c>
      <c r="N343" s="18">
        <f t="shared" si="26"/>
        <v>1.5217391304347827E-2</v>
      </c>
      <c r="O343" s="8">
        <f t="shared" si="27"/>
        <v>71.737142857142857</v>
      </c>
      <c r="P343" s="14">
        <f t="shared" si="28"/>
        <v>-217.61</v>
      </c>
      <c r="Q343" s="16">
        <f t="shared" si="29"/>
        <v>-0.43334793691253787</v>
      </c>
    </row>
    <row r="344" spans="1:17" x14ac:dyDescent="0.2">
      <c r="A344" s="2">
        <v>45686</v>
      </c>
      <c r="B344" s="3" t="s">
        <v>245</v>
      </c>
      <c r="C344" s="3" t="s">
        <v>41</v>
      </c>
      <c r="D344" s="3" t="s">
        <v>24</v>
      </c>
      <c r="E344" s="3" t="s">
        <v>20</v>
      </c>
      <c r="F344" s="3" t="s">
        <v>29</v>
      </c>
      <c r="G344" s="3" t="s">
        <v>21</v>
      </c>
      <c r="H344" s="4">
        <v>1630</v>
      </c>
      <c r="I344" s="3">
        <v>155</v>
      </c>
      <c r="J344" s="3">
        <v>18</v>
      </c>
      <c r="K344" s="12">
        <v>73.040000000000006</v>
      </c>
      <c r="L344" s="10">
        <v>2804.83</v>
      </c>
      <c r="M344" s="16">
        <f t="shared" si="25"/>
        <v>9.5092024539877307E-2</v>
      </c>
      <c r="N344" s="18">
        <f t="shared" si="26"/>
        <v>0.11612903225806452</v>
      </c>
      <c r="O344" s="8">
        <f t="shared" si="27"/>
        <v>4.0577777777777779</v>
      </c>
      <c r="P344" s="14">
        <f t="shared" si="28"/>
        <v>2731.79</v>
      </c>
      <c r="Q344" s="16">
        <f t="shared" si="29"/>
        <v>37.401286966046001</v>
      </c>
    </row>
    <row r="345" spans="1:17" x14ac:dyDescent="0.2">
      <c r="A345" s="2">
        <v>45686</v>
      </c>
      <c r="B345" s="3" t="s">
        <v>324</v>
      </c>
      <c r="C345" s="3" t="s">
        <v>36</v>
      </c>
      <c r="D345" s="3" t="s">
        <v>37</v>
      </c>
      <c r="E345" s="3" t="s">
        <v>31</v>
      </c>
      <c r="F345" s="3" t="s">
        <v>16</v>
      </c>
      <c r="G345" s="3" t="s">
        <v>17</v>
      </c>
      <c r="H345" s="4">
        <v>6214</v>
      </c>
      <c r="I345" s="3">
        <v>233</v>
      </c>
      <c r="J345" s="3">
        <v>6</v>
      </c>
      <c r="K345" s="12">
        <v>1616.35</v>
      </c>
      <c r="L345" s="10">
        <v>938.24</v>
      </c>
      <c r="M345" s="16">
        <f t="shared" si="25"/>
        <v>3.7495976826520762E-2</v>
      </c>
      <c r="N345" s="18">
        <f t="shared" si="26"/>
        <v>2.575107296137339E-2</v>
      </c>
      <c r="O345" s="8">
        <f t="shared" si="27"/>
        <v>269.39166666666665</v>
      </c>
      <c r="P345" s="14">
        <f t="shared" si="28"/>
        <v>-678.1099999999999</v>
      </c>
      <c r="Q345" s="16">
        <f t="shared" si="29"/>
        <v>-0.41953166084078319</v>
      </c>
    </row>
    <row r="346" spans="1:17" x14ac:dyDescent="0.2">
      <c r="A346" s="2">
        <v>45686</v>
      </c>
      <c r="B346" s="3" t="s">
        <v>710</v>
      </c>
      <c r="C346" s="3" t="s">
        <v>110</v>
      </c>
      <c r="D346" s="3" t="s">
        <v>24</v>
      </c>
      <c r="E346" s="3" t="s">
        <v>20</v>
      </c>
      <c r="F346" s="3" t="s">
        <v>47</v>
      </c>
      <c r="G346" s="3" t="s">
        <v>21</v>
      </c>
      <c r="H346" s="4">
        <v>4630</v>
      </c>
      <c r="I346" s="3">
        <v>391</v>
      </c>
      <c r="J346" s="3">
        <v>63</v>
      </c>
      <c r="K346" s="12">
        <v>144.59</v>
      </c>
      <c r="L346" s="10">
        <v>6781.27</v>
      </c>
      <c r="M346" s="16">
        <f t="shared" si="25"/>
        <v>8.4449244060475159E-2</v>
      </c>
      <c r="N346" s="18">
        <f t="shared" si="26"/>
        <v>0.16112531969309463</v>
      </c>
      <c r="O346" s="8">
        <f t="shared" si="27"/>
        <v>2.2950793650793653</v>
      </c>
      <c r="P346" s="14">
        <f t="shared" si="28"/>
        <v>6636.68</v>
      </c>
      <c r="Q346" s="16">
        <f t="shared" si="29"/>
        <v>45.899993083892383</v>
      </c>
    </row>
    <row r="347" spans="1:17" x14ac:dyDescent="0.2">
      <c r="A347" s="2">
        <v>45686</v>
      </c>
      <c r="B347" s="3" t="s">
        <v>711</v>
      </c>
      <c r="C347" s="3" t="s">
        <v>74</v>
      </c>
      <c r="D347" s="3" t="s">
        <v>28</v>
      </c>
      <c r="E347" s="3" t="s">
        <v>31</v>
      </c>
      <c r="F347" s="3" t="s">
        <v>34</v>
      </c>
      <c r="G347" s="3" t="s">
        <v>21</v>
      </c>
      <c r="H347" s="4">
        <v>23925</v>
      </c>
      <c r="I347" s="3">
        <v>719</v>
      </c>
      <c r="J347" s="3">
        <v>23</v>
      </c>
      <c r="K347" s="12">
        <v>776.99</v>
      </c>
      <c r="L347" s="10">
        <v>1263.1400000000001</v>
      </c>
      <c r="M347" s="16">
        <f t="shared" si="25"/>
        <v>3.0052246603970743E-2</v>
      </c>
      <c r="N347" s="18">
        <f t="shared" si="26"/>
        <v>3.1988873435326845E-2</v>
      </c>
      <c r="O347" s="8">
        <f t="shared" si="27"/>
        <v>33.782173913043479</v>
      </c>
      <c r="P347" s="14">
        <f t="shared" si="28"/>
        <v>486.15000000000009</v>
      </c>
      <c r="Q347" s="16">
        <f t="shared" si="29"/>
        <v>0.62568372823331075</v>
      </c>
    </row>
    <row r="348" spans="1:17" x14ac:dyDescent="0.2">
      <c r="A348" s="2">
        <v>45686</v>
      </c>
      <c r="B348" s="3" t="s">
        <v>146</v>
      </c>
      <c r="C348" s="3" t="s">
        <v>52</v>
      </c>
      <c r="D348" s="3" t="s">
        <v>24</v>
      </c>
      <c r="E348" s="3" t="s">
        <v>31</v>
      </c>
      <c r="F348" s="3" t="s">
        <v>50</v>
      </c>
      <c r="G348" s="3" t="s">
        <v>21</v>
      </c>
      <c r="H348" s="4">
        <v>4822</v>
      </c>
      <c r="I348" s="3">
        <v>580</v>
      </c>
      <c r="J348" s="3">
        <v>85</v>
      </c>
      <c r="K348" s="12">
        <v>141.96</v>
      </c>
      <c r="L348" s="10">
        <v>7766.47</v>
      </c>
      <c r="M348" s="16">
        <f t="shared" si="25"/>
        <v>0.12028204064703442</v>
      </c>
      <c r="N348" s="18">
        <f t="shared" si="26"/>
        <v>0.14655172413793102</v>
      </c>
      <c r="O348" s="8">
        <f t="shared" si="27"/>
        <v>1.6701176470588237</v>
      </c>
      <c r="P348" s="14">
        <f t="shared" si="28"/>
        <v>7624.51</v>
      </c>
      <c r="Q348" s="16">
        <f t="shared" si="29"/>
        <v>53.708861651169343</v>
      </c>
    </row>
    <row r="349" spans="1:17" x14ac:dyDescent="0.2">
      <c r="A349" s="2">
        <v>45686</v>
      </c>
      <c r="B349" s="3" t="s">
        <v>712</v>
      </c>
      <c r="C349" s="3" t="s">
        <v>49</v>
      </c>
      <c r="D349" s="3" t="s">
        <v>46</v>
      </c>
      <c r="E349" s="3" t="s">
        <v>20</v>
      </c>
      <c r="F349" s="3" t="s">
        <v>16</v>
      </c>
      <c r="G349" s="3" t="s">
        <v>17</v>
      </c>
      <c r="H349" s="4">
        <v>17654</v>
      </c>
      <c r="I349" s="3">
        <v>614</v>
      </c>
      <c r="J349" s="3">
        <v>20</v>
      </c>
      <c r="K349" s="12">
        <v>847.08</v>
      </c>
      <c r="L349" s="10">
        <v>1521.49</v>
      </c>
      <c r="M349" s="16">
        <f t="shared" si="25"/>
        <v>3.4779653336354369E-2</v>
      </c>
      <c r="N349" s="18">
        <f t="shared" si="26"/>
        <v>3.2573289902280131E-2</v>
      </c>
      <c r="O349" s="8">
        <f t="shared" si="27"/>
        <v>42.353999999999999</v>
      </c>
      <c r="P349" s="14">
        <f t="shared" si="28"/>
        <v>674.41</v>
      </c>
      <c r="Q349" s="16">
        <f t="shared" si="29"/>
        <v>0.79615856825801568</v>
      </c>
    </row>
    <row r="350" spans="1:17" x14ac:dyDescent="0.2">
      <c r="A350" s="2">
        <v>45686</v>
      </c>
      <c r="B350" s="3" t="s">
        <v>713</v>
      </c>
      <c r="C350" s="3" t="s">
        <v>39</v>
      </c>
      <c r="D350" s="3" t="s">
        <v>28</v>
      </c>
      <c r="E350" s="3" t="s">
        <v>15</v>
      </c>
      <c r="F350" s="3" t="s">
        <v>47</v>
      </c>
      <c r="G350" s="3" t="s">
        <v>17</v>
      </c>
      <c r="H350" s="4">
        <v>31600</v>
      </c>
      <c r="I350" s="3">
        <v>605</v>
      </c>
      <c r="J350" s="3">
        <v>5</v>
      </c>
      <c r="K350" s="12">
        <v>735.16</v>
      </c>
      <c r="L350" s="10">
        <v>370.51</v>
      </c>
      <c r="M350" s="16">
        <f t="shared" si="25"/>
        <v>1.9145569620253166E-2</v>
      </c>
      <c r="N350" s="18">
        <f t="shared" si="26"/>
        <v>8.2644628099173556E-3</v>
      </c>
      <c r="O350" s="8">
        <f t="shared" si="27"/>
        <v>147.03199999999998</v>
      </c>
      <c r="P350" s="14">
        <f t="shared" si="28"/>
        <v>-364.65</v>
      </c>
      <c r="Q350" s="16">
        <f t="shared" si="29"/>
        <v>-0.49601447303988244</v>
      </c>
    </row>
    <row r="351" spans="1:17" x14ac:dyDescent="0.2">
      <c r="A351" s="2">
        <v>45687</v>
      </c>
      <c r="B351" s="3" t="s">
        <v>257</v>
      </c>
      <c r="C351" s="3" t="s">
        <v>41</v>
      </c>
      <c r="D351" s="3" t="s">
        <v>24</v>
      </c>
      <c r="E351" s="3" t="s">
        <v>15</v>
      </c>
      <c r="F351" s="3" t="s">
        <v>47</v>
      </c>
      <c r="G351" s="3" t="s">
        <v>21</v>
      </c>
      <c r="H351" s="4">
        <v>3118</v>
      </c>
      <c r="I351" s="3">
        <v>360</v>
      </c>
      <c r="J351" s="3">
        <v>40</v>
      </c>
      <c r="K351" s="12">
        <v>115.05</v>
      </c>
      <c r="L351" s="10">
        <v>4528.18</v>
      </c>
      <c r="M351" s="16">
        <f t="shared" si="25"/>
        <v>0.11545862732520847</v>
      </c>
      <c r="N351" s="18">
        <f t="shared" si="26"/>
        <v>0.1111111111111111</v>
      </c>
      <c r="O351" s="8">
        <f t="shared" si="27"/>
        <v>2.8762499999999998</v>
      </c>
      <c r="P351" s="14">
        <f t="shared" si="28"/>
        <v>4413.13</v>
      </c>
      <c r="Q351" s="16">
        <f t="shared" si="29"/>
        <v>38.358365927857456</v>
      </c>
    </row>
    <row r="352" spans="1:17" x14ac:dyDescent="0.2">
      <c r="A352" s="2">
        <v>45687</v>
      </c>
      <c r="B352" s="3" t="s">
        <v>714</v>
      </c>
      <c r="C352" s="3" t="s">
        <v>120</v>
      </c>
      <c r="D352" s="3" t="s">
        <v>14</v>
      </c>
      <c r="E352" s="3" t="s">
        <v>31</v>
      </c>
      <c r="F352" s="3" t="s">
        <v>16</v>
      </c>
      <c r="G352" s="3" t="s">
        <v>17</v>
      </c>
      <c r="H352" s="4">
        <v>8026</v>
      </c>
      <c r="I352" s="3">
        <v>588</v>
      </c>
      <c r="J352" s="3">
        <v>27</v>
      </c>
      <c r="K352" s="12">
        <v>1448.39</v>
      </c>
      <c r="L352" s="10">
        <v>2644.76</v>
      </c>
      <c r="M352" s="16">
        <f t="shared" si="25"/>
        <v>7.3261898828806377E-2</v>
      </c>
      <c r="N352" s="18">
        <f t="shared" si="26"/>
        <v>4.5918367346938778E-2</v>
      </c>
      <c r="O352" s="8">
        <f t="shared" si="27"/>
        <v>53.644074074074076</v>
      </c>
      <c r="P352" s="14">
        <f t="shared" si="28"/>
        <v>1196.3700000000001</v>
      </c>
      <c r="Q352" s="16">
        <f t="shared" si="29"/>
        <v>0.82599990334095097</v>
      </c>
    </row>
    <row r="353" spans="1:17" x14ac:dyDescent="0.2">
      <c r="A353" s="2">
        <v>45687</v>
      </c>
      <c r="B353" s="3" t="s">
        <v>715</v>
      </c>
      <c r="C353" s="3" t="s">
        <v>156</v>
      </c>
      <c r="D353" s="3" t="s">
        <v>46</v>
      </c>
      <c r="E353" s="3" t="s">
        <v>20</v>
      </c>
      <c r="F353" s="3" t="s">
        <v>16</v>
      </c>
      <c r="G353" s="3" t="s">
        <v>17</v>
      </c>
      <c r="H353" s="4">
        <v>15310</v>
      </c>
      <c r="I353" s="3">
        <v>528</v>
      </c>
      <c r="J353" s="3">
        <v>11</v>
      </c>
      <c r="K353" s="12">
        <v>489.38</v>
      </c>
      <c r="L353" s="10">
        <v>1018.4</v>
      </c>
      <c r="M353" s="16">
        <f t="shared" si="25"/>
        <v>3.4487263226649252E-2</v>
      </c>
      <c r="N353" s="18">
        <f t="shared" si="26"/>
        <v>2.0833333333333332E-2</v>
      </c>
      <c r="O353" s="8">
        <f t="shared" si="27"/>
        <v>44.489090909090912</v>
      </c>
      <c r="P353" s="14">
        <f t="shared" si="28"/>
        <v>529.02</v>
      </c>
      <c r="Q353" s="16">
        <f t="shared" si="29"/>
        <v>1.0810004495484082</v>
      </c>
    </row>
    <row r="354" spans="1:17" x14ac:dyDescent="0.2">
      <c r="A354" s="2">
        <v>45687</v>
      </c>
      <c r="B354" s="3" t="s">
        <v>222</v>
      </c>
      <c r="C354" s="3" t="s">
        <v>54</v>
      </c>
      <c r="D354" s="3" t="s">
        <v>14</v>
      </c>
      <c r="E354" s="3" t="s">
        <v>20</v>
      </c>
      <c r="F354" s="3" t="s">
        <v>16</v>
      </c>
      <c r="G354" s="3" t="s">
        <v>25</v>
      </c>
      <c r="H354" s="4">
        <v>9986</v>
      </c>
      <c r="I354" s="3">
        <v>379</v>
      </c>
      <c r="J354" s="3">
        <v>14</v>
      </c>
      <c r="K354" s="12">
        <v>828.86</v>
      </c>
      <c r="L354" s="10">
        <v>947.56</v>
      </c>
      <c r="M354" s="16">
        <f t="shared" si="25"/>
        <v>3.7953134388143399E-2</v>
      </c>
      <c r="N354" s="18">
        <f t="shared" si="26"/>
        <v>3.6939313984168866E-2</v>
      </c>
      <c r="O354" s="8">
        <f t="shared" si="27"/>
        <v>59.204285714285717</v>
      </c>
      <c r="P354" s="14">
        <f t="shared" si="28"/>
        <v>118.69999999999993</v>
      </c>
      <c r="Q354" s="16">
        <f t="shared" si="29"/>
        <v>0.14320874454069435</v>
      </c>
    </row>
    <row r="355" spans="1:17" x14ac:dyDescent="0.2">
      <c r="A355" s="2">
        <v>45687</v>
      </c>
      <c r="B355" s="3" t="s">
        <v>716</v>
      </c>
      <c r="C355" s="3" t="s">
        <v>33</v>
      </c>
      <c r="D355" s="3" t="s">
        <v>28</v>
      </c>
      <c r="E355" s="3" t="s">
        <v>20</v>
      </c>
      <c r="F355" s="3" t="s">
        <v>34</v>
      </c>
      <c r="G355" s="3" t="s">
        <v>21</v>
      </c>
      <c r="H355" s="4">
        <v>27542</v>
      </c>
      <c r="I355" s="3">
        <v>456</v>
      </c>
      <c r="J355" s="3">
        <v>5</v>
      </c>
      <c r="K355" s="12">
        <v>429.19</v>
      </c>
      <c r="L355" s="10">
        <v>348.35</v>
      </c>
      <c r="M355" s="16">
        <f t="shared" si="25"/>
        <v>1.6556531842277251E-2</v>
      </c>
      <c r="N355" s="18">
        <f t="shared" si="26"/>
        <v>1.0964912280701754E-2</v>
      </c>
      <c r="O355" s="8">
        <f t="shared" si="27"/>
        <v>85.837999999999994</v>
      </c>
      <c r="P355" s="14">
        <f t="shared" si="28"/>
        <v>-80.839999999999975</v>
      </c>
      <c r="Q355" s="16">
        <f t="shared" si="29"/>
        <v>-0.18835480789393969</v>
      </c>
    </row>
    <row r="356" spans="1:17" x14ac:dyDescent="0.2">
      <c r="A356" s="2">
        <v>45687</v>
      </c>
      <c r="B356" s="3" t="s">
        <v>717</v>
      </c>
      <c r="C356" s="3" t="s">
        <v>156</v>
      </c>
      <c r="D356" s="3" t="s">
        <v>46</v>
      </c>
      <c r="E356" s="3" t="s">
        <v>31</v>
      </c>
      <c r="F356" s="3" t="s">
        <v>47</v>
      </c>
      <c r="G356" s="3" t="s">
        <v>17</v>
      </c>
      <c r="H356" s="4">
        <v>8271</v>
      </c>
      <c r="I356" s="3">
        <v>321</v>
      </c>
      <c r="J356" s="3">
        <v>12</v>
      </c>
      <c r="K356" s="12">
        <v>561.39</v>
      </c>
      <c r="L356" s="10">
        <v>707.12</v>
      </c>
      <c r="M356" s="16">
        <f t="shared" si="25"/>
        <v>3.8810301051867974E-2</v>
      </c>
      <c r="N356" s="18">
        <f t="shared" si="26"/>
        <v>3.7383177570093455E-2</v>
      </c>
      <c r="O356" s="8">
        <f t="shared" si="27"/>
        <v>46.782499999999999</v>
      </c>
      <c r="P356" s="14">
        <f t="shared" si="28"/>
        <v>145.73000000000002</v>
      </c>
      <c r="Q356" s="16">
        <f t="shared" si="29"/>
        <v>0.25958780883165006</v>
      </c>
    </row>
    <row r="357" spans="1:17" x14ac:dyDescent="0.2">
      <c r="A357" s="2">
        <v>45687</v>
      </c>
      <c r="B357" s="3" t="s">
        <v>422</v>
      </c>
      <c r="C357" s="3" t="s">
        <v>19</v>
      </c>
      <c r="D357" s="3" t="s">
        <v>14</v>
      </c>
      <c r="E357" s="3" t="s">
        <v>15</v>
      </c>
      <c r="F357" s="3" t="s">
        <v>29</v>
      </c>
      <c r="G357" s="3" t="s">
        <v>17</v>
      </c>
      <c r="H357" s="4">
        <v>10032</v>
      </c>
      <c r="I357" s="3">
        <v>578</v>
      </c>
      <c r="J357" s="3">
        <v>13</v>
      </c>
      <c r="K357" s="12">
        <v>1535.72</v>
      </c>
      <c r="L357" s="10">
        <v>1004.26</v>
      </c>
      <c r="M357" s="16">
        <f t="shared" si="25"/>
        <v>5.7615629984051037E-2</v>
      </c>
      <c r="N357" s="18">
        <f t="shared" si="26"/>
        <v>2.2491349480968859E-2</v>
      </c>
      <c r="O357" s="8">
        <f t="shared" si="27"/>
        <v>118.13230769230769</v>
      </c>
      <c r="P357" s="14">
        <f t="shared" si="28"/>
        <v>-531.46</v>
      </c>
      <c r="Q357" s="16">
        <f t="shared" si="29"/>
        <v>-0.34606568905790119</v>
      </c>
    </row>
    <row r="358" spans="1:17" x14ac:dyDescent="0.2">
      <c r="A358" s="2">
        <v>45687</v>
      </c>
      <c r="B358" s="3" t="s">
        <v>718</v>
      </c>
      <c r="C358" s="3" t="s">
        <v>156</v>
      </c>
      <c r="D358" s="3" t="s">
        <v>46</v>
      </c>
      <c r="E358" s="3" t="s">
        <v>15</v>
      </c>
      <c r="F358" s="3" t="s">
        <v>29</v>
      </c>
      <c r="G358" s="3" t="s">
        <v>17</v>
      </c>
      <c r="H358" s="3">
        <v>13733</v>
      </c>
      <c r="I358" s="3">
        <v>490</v>
      </c>
      <c r="J358" s="3">
        <v>5</v>
      </c>
      <c r="K358" s="12">
        <v>589.39</v>
      </c>
      <c r="L358" s="10">
        <v>437.66</v>
      </c>
      <c r="M358" s="16">
        <f t="shared" si="25"/>
        <v>3.5680477681497125E-2</v>
      </c>
      <c r="N358" s="18">
        <f t="shared" si="26"/>
        <v>1.020408163265306E-2</v>
      </c>
      <c r="O358" s="8">
        <f t="shared" si="27"/>
        <v>117.878</v>
      </c>
      <c r="P358" s="14">
        <f t="shared" si="28"/>
        <v>-151.72999999999996</v>
      </c>
      <c r="Q358" s="16">
        <f t="shared" si="29"/>
        <v>-0.25743565381156785</v>
      </c>
    </row>
    <row r="359" spans="1:17" x14ac:dyDescent="0.2">
      <c r="A359" s="2">
        <v>45687</v>
      </c>
      <c r="B359" s="3" t="s">
        <v>719</v>
      </c>
      <c r="C359" s="3" t="s">
        <v>156</v>
      </c>
      <c r="D359" s="3" t="s">
        <v>46</v>
      </c>
      <c r="E359" s="3" t="s">
        <v>15</v>
      </c>
      <c r="F359" s="3" t="s">
        <v>29</v>
      </c>
      <c r="G359" s="3" t="s">
        <v>17</v>
      </c>
      <c r="H359" s="3">
        <v>14164</v>
      </c>
      <c r="I359" s="3">
        <v>401</v>
      </c>
      <c r="J359" s="3">
        <v>5</v>
      </c>
      <c r="K359" s="12">
        <v>785.77</v>
      </c>
      <c r="L359" s="10">
        <v>320.41000000000003</v>
      </c>
      <c r="M359" s="16">
        <f t="shared" si="25"/>
        <v>2.831121152216888E-2</v>
      </c>
      <c r="N359" s="18">
        <f t="shared" si="26"/>
        <v>1.2468827930174564E-2</v>
      </c>
      <c r="O359" s="8">
        <f t="shared" si="27"/>
        <v>157.154</v>
      </c>
      <c r="P359" s="14">
        <f t="shared" si="28"/>
        <v>-465.35999999999996</v>
      </c>
      <c r="Q359" s="16">
        <f t="shared" si="29"/>
        <v>-0.59223436883566438</v>
      </c>
    </row>
    <row r="360" spans="1:17" x14ac:dyDescent="0.2">
      <c r="A360" s="2">
        <v>45687</v>
      </c>
      <c r="B360" s="3" t="s">
        <v>205</v>
      </c>
      <c r="C360" s="3" t="s">
        <v>97</v>
      </c>
      <c r="D360" s="3" t="s">
        <v>46</v>
      </c>
      <c r="E360" s="3" t="s">
        <v>15</v>
      </c>
      <c r="F360" s="3" t="s">
        <v>34</v>
      </c>
      <c r="G360" s="3" t="s">
        <v>17</v>
      </c>
      <c r="H360" s="3">
        <v>17450</v>
      </c>
      <c r="I360" s="3">
        <v>567</v>
      </c>
      <c r="J360" s="3">
        <v>10</v>
      </c>
      <c r="K360" s="12">
        <v>942</v>
      </c>
      <c r="L360" s="10">
        <v>855.66</v>
      </c>
      <c r="M360" s="16">
        <f t="shared" si="25"/>
        <v>3.2492836676217766E-2</v>
      </c>
      <c r="N360" s="18">
        <f t="shared" si="26"/>
        <v>1.7636684303350969E-2</v>
      </c>
      <c r="O360" s="8">
        <f t="shared" si="27"/>
        <v>94.2</v>
      </c>
      <c r="P360" s="14">
        <f t="shared" si="28"/>
        <v>-86.340000000000032</v>
      </c>
      <c r="Q360" s="16">
        <f t="shared" si="29"/>
        <v>-9.1656050955414042E-2</v>
      </c>
    </row>
    <row r="361" spans="1:17" x14ac:dyDescent="0.2">
      <c r="A361" s="2">
        <v>45687</v>
      </c>
      <c r="B361" s="3" t="s">
        <v>720</v>
      </c>
      <c r="C361" s="3" t="s">
        <v>74</v>
      </c>
      <c r="D361" s="3" t="s">
        <v>28</v>
      </c>
      <c r="E361" s="3" t="s">
        <v>15</v>
      </c>
      <c r="F361" s="3" t="s">
        <v>47</v>
      </c>
      <c r="G361" s="3" t="s">
        <v>21</v>
      </c>
      <c r="H361" s="3">
        <v>20435</v>
      </c>
      <c r="I361" s="3">
        <v>388</v>
      </c>
      <c r="J361" s="3">
        <v>3</v>
      </c>
      <c r="K361" s="12">
        <v>422.95</v>
      </c>
      <c r="L361" s="10">
        <v>59.4</v>
      </c>
      <c r="M361" s="16">
        <f t="shared" si="25"/>
        <v>1.8987032052850503E-2</v>
      </c>
      <c r="N361" s="18">
        <f t="shared" si="26"/>
        <v>7.7319587628865982E-3</v>
      </c>
      <c r="O361" s="8">
        <f t="shared" si="27"/>
        <v>140.98333333333332</v>
      </c>
      <c r="P361" s="14">
        <f t="shared" si="28"/>
        <v>-363.55</v>
      </c>
      <c r="Q361" s="16">
        <f t="shared" si="29"/>
        <v>-0.85955786736020812</v>
      </c>
    </row>
    <row r="362" spans="1:17" x14ac:dyDescent="0.2">
      <c r="A362" s="2">
        <v>45687</v>
      </c>
      <c r="B362" s="3" t="s">
        <v>400</v>
      </c>
      <c r="C362" s="3" t="s">
        <v>74</v>
      </c>
      <c r="D362" s="3" t="s">
        <v>28</v>
      </c>
      <c r="E362" s="3" t="s">
        <v>15</v>
      </c>
      <c r="F362" s="3" t="s">
        <v>34</v>
      </c>
      <c r="G362" s="3" t="s">
        <v>17</v>
      </c>
      <c r="H362" s="3">
        <v>22130</v>
      </c>
      <c r="I362" s="3">
        <v>539</v>
      </c>
      <c r="J362" s="3">
        <v>5</v>
      </c>
      <c r="K362" s="12">
        <v>420.75</v>
      </c>
      <c r="L362" s="10">
        <v>307.36</v>
      </c>
      <c r="M362" s="16">
        <f t="shared" si="25"/>
        <v>2.4356077722548577E-2</v>
      </c>
      <c r="N362" s="18">
        <f t="shared" si="26"/>
        <v>9.2764378478664197E-3</v>
      </c>
      <c r="O362" s="8">
        <f t="shared" si="27"/>
        <v>84.15</v>
      </c>
      <c r="P362" s="14">
        <f t="shared" si="28"/>
        <v>-113.38999999999999</v>
      </c>
      <c r="Q362" s="16">
        <f t="shared" si="29"/>
        <v>-0.26949494949494945</v>
      </c>
    </row>
    <row r="363" spans="1:17" x14ac:dyDescent="0.2">
      <c r="A363" s="2">
        <v>45687</v>
      </c>
      <c r="B363" s="3" t="s">
        <v>196</v>
      </c>
      <c r="C363" s="3" t="s">
        <v>58</v>
      </c>
      <c r="D363" s="3" t="s">
        <v>37</v>
      </c>
      <c r="E363" s="3" t="s">
        <v>31</v>
      </c>
      <c r="F363" s="3" t="s">
        <v>16</v>
      </c>
      <c r="G363" s="3" t="s">
        <v>21</v>
      </c>
      <c r="H363" s="3">
        <v>3611</v>
      </c>
      <c r="I363" s="3">
        <v>145</v>
      </c>
      <c r="J363" s="3">
        <v>5</v>
      </c>
      <c r="K363" s="12">
        <v>663.91</v>
      </c>
      <c r="L363" s="10">
        <v>1054.3599999999999</v>
      </c>
      <c r="M363" s="16">
        <f t="shared" si="25"/>
        <v>4.0155081694821376E-2</v>
      </c>
      <c r="N363" s="18">
        <f t="shared" si="26"/>
        <v>3.4482758620689655E-2</v>
      </c>
      <c r="O363" s="8">
        <f t="shared" si="27"/>
        <v>132.78199999999998</v>
      </c>
      <c r="P363" s="14">
        <f t="shared" si="28"/>
        <v>390.44999999999993</v>
      </c>
      <c r="Q363" s="16">
        <f t="shared" si="29"/>
        <v>0.58810682170776152</v>
      </c>
    </row>
    <row r="364" spans="1:17" x14ac:dyDescent="0.2">
      <c r="A364" s="2">
        <v>45687</v>
      </c>
      <c r="B364" s="3" t="s">
        <v>510</v>
      </c>
      <c r="C364" s="3" t="s">
        <v>27</v>
      </c>
      <c r="D364" s="3" t="s">
        <v>28</v>
      </c>
      <c r="E364" s="3" t="s">
        <v>15</v>
      </c>
      <c r="F364" s="3" t="s">
        <v>47</v>
      </c>
      <c r="G364" s="3" t="s">
        <v>17</v>
      </c>
      <c r="H364" s="3">
        <v>24818</v>
      </c>
      <c r="I364" s="3">
        <v>109</v>
      </c>
      <c r="J364" s="3">
        <v>1</v>
      </c>
      <c r="K364" s="12">
        <v>130.01</v>
      </c>
      <c r="L364" s="10">
        <v>51.54</v>
      </c>
      <c r="M364" s="16">
        <f t="shared" si="25"/>
        <v>4.3919735675719239E-3</v>
      </c>
      <c r="N364" s="18">
        <f t="shared" si="26"/>
        <v>9.1743119266055051E-3</v>
      </c>
      <c r="O364" s="8">
        <f t="shared" si="27"/>
        <v>130.01</v>
      </c>
      <c r="P364" s="14">
        <f t="shared" si="28"/>
        <v>-78.47</v>
      </c>
      <c r="Q364" s="16">
        <f t="shared" si="29"/>
        <v>-0.60356895623413587</v>
      </c>
    </row>
    <row r="365" spans="1:17" x14ac:dyDescent="0.2">
      <c r="A365" s="2">
        <v>45687</v>
      </c>
      <c r="B365" s="3" t="s">
        <v>721</v>
      </c>
      <c r="C365" s="3" t="s">
        <v>156</v>
      </c>
      <c r="D365" s="3" t="s">
        <v>46</v>
      </c>
      <c r="E365" s="3" t="s">
        <v>31</v>
      </c>
      <c r="F365" s="3" t="s">
        <v>16</v>
      </c>
      <c r="G365" s="3" t="s">
        <v>17</v>
      </c>
      <c r="H365" s="3">
        <v>10654</v>
      </c>
      <c r="I365" s="3">
        <v>344</v>
      </c>
      <c r="J365" s="3">
        <v>9</v>
      </c>
      <c r="K365" s="12">
        <v>0</v>
      </c>
      <c r="L365" s="10">
        <v>538.82000000000005</v>
      </c>
      <c r="M365" s="16">
        <f t="shared" si="25"/>
        <v>3.2288342406607849E-2</v>
      </c>
      <c r="N365" s="18">
        <f t="shared" si="26"/>
        <v>2.616279069767442E-2</v>
      </c>
      <c r="O365" s="8">
        <f t="shared" si="27"/>
        <v>0</v>
      </c>
      <c r="P365" s="14">
        <f t="shared" si="28"/>
        <v>538.82000000000005</v>
      </c>
      <c r="Q365" s="16">
        <f t="shared" si="29"/>
        <v>0</v>
      </c>
    </row>
    <row r="366" spans="1:17" x14ac:dyDescent="0.2">
      <c r="A366" s="2">
        <v>45687</v>
      </c>
      <c r="B366" s="3" t="s">
        <v>722</v>
      </c>
      <c r="C366" s="3" t="s">
        <v>41</v>
      </c>
      <c r="D366" s="3" t="s">
        <v>24</v>
      </c>
      <c r="E366" s="3" t="s">
        <v>15</v>
      </c>
      <c r="F366" s="3" t="s">
        <v>16</v>
      </c>
      <c r="G366" s="3" t="s">
        <v>21</v>
      </c>
      <c r="H366" s="3">
        <v>3861</v>
      </c>
      <c r="I366" s="3">
        <v>295</v>
      </c>
      <c r="J366" s="3">
        <v>38</v>
      </c>
      <c r="K366" s="12">
        <v>124.81</v>
      </c>
      <c r="L366" s="10">
        <v>4097.7700000000004</v>
      </c>
      <c r="M366" s="16">
        <f t="shared" si="25"/>
        <v>7.6405076405076405E-2</v>
      </c>
      <c r="N366" s="18">
        <f t="shared" si="26"/>
        <v>0.12881355932203389</v>
      </c>
      <c r="O366" s="8">
        <f t="shared" si="27"/>
        <v>3.2844736842105262</v>
      </c>
      <c r="P366" s="14">
        <f t="shared" si="28"/>
        <v>3972.9600000000005</v>
      </c>
      <c r="Q366" s="16">
        <f t="shared" si="29"/>
        <v>31.832064738402376</v>
      </c>
    </row>
    <row r="367" spans="1:17" x14ac:dyDescent="0.2">
      <c r="A367" s="2">
        <v>45687</v>
      </c>
      <c r="B367" s="3" t="s">
        <v>506</v>
      </c>
      <c r="C367" s="3" t="s">
        <v>156</v>
      </c>
      <c r="D367" s="3" t="s">
        <v>46</v>
      </c>
      <c r="E367" s="3" t="s">
        <v>20</v>
      </c>
      <c r="F367" s="3" t="s">
        <v>29</v>
      </c>
      <c r="G367" s="3" t="s">
        <v>17</v>
      </c>
      <c r="H367" s="3">
        <v>8149</v>
      </c>
      <c r="I367" s="3">
        <v>270</v>
      </c>
      <c r="J367" s="3">
        <v>6</v>
      </c>
      <c r="K367" s="12">
        <v>488.68</v>
      </c>
      <c r="L367" s="10">
        <v>421.95</v>
      </c>
      <c r="M367" s="16">
        <f t="shared" si="25"/>
        <v>3.3132899742299667E-2</v>
      </c>
      <c r="N367" s="18">
        <f t="shared" si="26"/>
        <v>2.2222222222222223E-2</v>
      </c>
      <c r="O367" s="8">
        <f t="shared" si="27"/>
        <v>81.446666666666673</v>
      </c>
      <c r="P367" s="14">
        <f t="shared" si="28"/>
        <v>-66.730000000000018</v>
      </c>
      <c r="Q367" s="16">
        <f t="shared" si="29"/>
        <v>-0.13655152656134897</v>
      </c>
    </row>
    <row r="368" spans="1:17" x14ac:dyDescent="0.2">
      <c r="A368" s="2">
        <v>45687</v>
      </c>
      <c r="B368" s="3" t="s">
        <v>180</v>
      </c>
      <c r="C368" s="3" t="s">
        <v>36</v>
      </c>
      <c r="D368" s="3" t="s">
        <v>37</v>
      </c>
      <c r="E368" s="3" t="s">
        <v>15</v>
      </c>
      <c r="F368" s="3" t="s">
        <v>29</v>
      </c>
      <c r="G368" s="3" t="s">
        <v>17</v>
      </c>
      <c r="H368" s="3">
        <v>3224</v>
      </c>
      <c r="I368" s="3">
        <v>68</v>
      </c>
      <c r="J368" s="3">
        <v>1</v>
      </c>
      <c r="K368" s="12">
        <v>404.55</v>
      </c>
      <c r="L368" s="10">
        <v>141.61000000000001</v>
      </c>
      <c r="M368" s="16">
        <f t="shared" si="25"/>
        <v>2.1091811414392061E-2</v>
      </c>
      <c r="N368" s="18">
        <f t="shared" si="26"/>
        <v>1.4705882352941176E-2</v>
      </c>
      <c r="O368" s="8">
        <f t="shared" si="27"/>
        <v>404.55</v>
      </c>
      <c r="P368" s="14">
        <f t="shared" si="28"/>
        <v>-262.94</v>
      </c>
      <c r="Q368" s="16">
        <f t="shared" si="29"/>
        <v>-0.64995674205907794</v>
      </c>
    </row>
    <row r="369" spans="1:17" x14ac:dyDescent="0.2">
      <c r="A369" s="2">
        <v>45688</v>
      </c>
      <c r="B369" s="3" t="s">
        <v>219</v>
      </c>
      <c r="C369" s="3" t="s">
        <v>71</v>
      </c>
      <c r="D369" s="3" t="s">
        <v>37</v>
      </c>
      <c r="E369" s="3" t="s">
        <v>15</v>
      </c>
      <c r="F369" s="3" t="s">
        <v>34</v>
      </c>
      <c r="G369" s="3" t="s">
        <v>17</v>
      </c>
      <c r="H369" s="3">
        <v>3324</v>
      </c>
      <c r="I369" s="3">
        <v>116</v>
      </c>
      <c r="J369" s="3">
        <v>1</v>
      </c>
      <c r="K369" s="12">
        <v>484.81</v>
      </c>
      <c r="L369" s="10">
        <v>24.81</v>
      </c>
      <c r="M369" s="16">
        <f t="shared" si="25"/>
        <v>3.4897713598074608E-2</v>
      </c>
      <c r="N369" s="18">
        <f t="shared" si="26"/>
        <v>8.6206896551724137E-3</v>
      </c>
      <c r="O369" s="8">
        <f t="shared" si="27"/>
        <v>484.81</v>
      </c>
      <c r="P369" s="14">
        <f t="shared" si="28"/>
        <v>-460</v>
      </c>
      <c r="Q369" s="16">
        <f t="shared" si="29"/>
        <v>-0.94882531300922013</v>
      </c>
    </row>
    <row r="370" spans="1:17" x14ac:dyDescent="0.2">
      <c r="A370" s="2">
        <v>45688</v>
      </c>
      <c r="B370" s="3" t="s">
        <v>723</v>
      </c>
      <c r="C370" s="3" t="s">
        <v>19</v>
      </c>
      <c r="D370" s="3" t="s">
        <v>14</v>
      </c>
      <c r="E370" s="3" t="s">
        <v>31</v>
      </c>
      <c r="F370" s="3" t="s">
        <v>50</v>
      </c>
      <c r="G370" s="3" t="s">
        <v>17</v>
      </c>
      <c r="H370" s="3">
        <v>7651</v>
      </c>
      <c r="I370" s="3">
        <v>341</v>
      </c>
      <c r="J370" s="3">
        <v>24</v>
      </c>
      <c r="K370" s="12">
        <v>838.86</v>
      </c>
      <c r="L370" s="10">
        <v>2190.2800000000002</v>
      </c>
      <c r="M370" s="16">
        <f t="shared" si="25"/>
        <v>4.4569337341523983E-2</v>
      </c>
      <c r="N370" s="18">
        <f t="shared" si="26"/>
        <v>7.0381231671554259E-2</v>
      </c>
      <c r="O370" s="8">
        <f t="shared" si="27"/>
        <v>34.952500000000001</v>
      </c>
      <c r="P370" s="14">
        <f t="shared" si="28"/>
        <v>1351.42</v>
      </c>
      <c r="Q370" s="16">
        <f t="shared" si="29"/>
        <v>1.6110197172352956</v>
      </c>
    </row>
    <row r="371" spans="1:17" x14ac:dyDescent="0.2">
      <c r="A371" s="2">
        <v>45688</v>
      </c>
      <c r="B371" s="3" t="s">
        <v>724</v>
      </c>
      <c r="C371" s="3" t="s">
        <v>36</v>
      </c>
      <c r="D371" s="3" t="s">
        <v>37</v>
      </c>
      <c r="E371" s="3" t="s">
        <v>20</v>
      </c>
      <c r="F371" s="3" t="s">
        <v>34</v>
      </c>
      <c r="G371" s="3" t="s">
        <v>17</v>
      </c>
      <c r="H371" s="3">
        <v>6650</v>
      </c>
      <c r="I371" s="3">
        <v>146</v>
      </c>
      <c r="J371" s="3">
        <v>1</v>
      </c>
      <c r="K371" s="12">
        <v>1088.9000000000001</v>
      </c>
      <c r="L371" s="10">
        <v>191.1</v>
      </c>
      <c r="M371" s="16">
        <f t="shared" si="25"/>
        <v>2.1954887218045113E-2</v>
      </c>
      <c r="N371" s="18">
        <f t="shared" si="26"/>
        <v>6.8493150684931503E-3</v>
      </c>
      <c r="O371" s="8">
        <f t="shared" si="27"/>
        <v>1088.9000000000001</v>
      </c>
      <c r="P371" s="14">
        <f t="shared" si="28"/>
        <v>-897.80000000000007</v>
      </c>
      <c r="Q371" s="16">
        <f t="shared" si="29"/>
        <v>-0.82450179079805308</v>
      </c>
    </row>
    <row r="372" spans="1:17" x14ac:dyDescent="0.2">
      <c r="A372" s="2">
        <v>45688</v>
      </c>
      <c r="B372" s="3" t="s">
        <v>725</v>
      </c>
      <c r="C372" s="3" t="s">
        <v>39</v>
      </c>
      <c r="D372" s="3" t="s">
        <v>28</v>
      </c>
      <c r="E372" s="3" t="s">
        <v>20</v>
      </c>
      <c r="F372" s="3" t="s">
        <v>47</v>
      </c>
      <c r="G372" s="3" t="s">
        <v>25</v>
      </c>
      <c r="H372" s="3">
        <v>33371</v>
      </c>
      <c r="I372" s="3">
        <v>787</v>
      </c>
      <c r="J372" s="3">
        <v>10</v>
      </c>
      <c r="K372" s="12">
        <v>757.78</v>
      </c>
      <c r="L372" s="10">
        <v>568.29</v>
      </c>
      <c r="M372" s="16">
        <f t="shared" si="25"/>
        <v>2.3583350813580654E-2</v>
      </c>
      <c r="N372" s="18">
        <f t="shared" si="26"/>
        <v>1.2706480304955527E-2</v>
      </c>
      <c r="O372" s="8">
        <f t="shared" si="27"/>
        <v>75.777999999999992</v>
      </c>
      <c r="P372" s="14">
        <f t="shared" si="28"/>
        <v>-189.49</v>
      </c>
      <c r="Q372" s="16">
        <f t="shared" si="29"/>
        <v>-0.25005938399007632</v>
      </c>
    </row>
    <row r="373" spans="1:17" x14ac:dyDescent="0.2">
      <c r="A373" s="2">
        <v>45688</v>
      </c>
      <c r="B373" s="3" t="s">
        <v>211</v>
      </c>
      <c r="C373" s="3" t="s">
        <v>39</v>
      </c>
      <c r="D373" s="3" t="s">
        <v>28</v>
      </c>
      <c r="E373" s="3" t="s">
        <v>20</v>
      </c>
      <c r="F373" s="3" t="s">
        <v>16</v>
      </c>
      <c r="G373" s="3" t="s">
        <v>17</v>
      </c>
      <c r="H373" s="3">
        <v>19407</v>
      </c>
      <c r="I373" s="3">
        <v>354</v>
      </c>
      <c r="J373" s="3">
        <v>5</v>
      </c>
      <c r="K373" s="12">
        <v>291.82</v>
      </c>
      <c r="L373" s="10">
        <v>330.71</v>
      </c>
      <c r="M373" s="16">
        <f t="shared" si="25"/>
        <v>1.8240840933683722E-2</v>
      </c>
      <c r="N373" s="18">
        <f t="shared" si="26"/>
        <v>1.4124293785310734E-2</v>
      </c>
      <c r="O373" s="8">
        <f t="shared" si="27"/>
        <v>58.363999999999997</v>
      </c>
      <c r="P373" s="14">
        <f t="shared" si="28"/>
        <v>38.889999999999986</v>
      </c>
      <c r="Q373" s="16">
        <f t="shared" si="29"/>
        <v>0.13326708244808438</v>
      </c>
    </row>
    <row r="374" spans="1:17" x14ac:dyDescent="0.2">
      <c r="A374" s="2">
        <v>45688</v>
      </c>
      <c r="B374" s="3" t="s">
        <v>87</v>
      </c>
      <c r="C374" s="3" t="s">
        <v>27</v>
      </c>
      <c r="D374" s="3" t="s">
        <v>28</v>
      </c>
      <c r="E374" s="3" t="s">
        <v>31</v>
      </c>
      <c r="F374" s="3" t="s">
        <v>29</v>
      </c>
      <c r="G374" s="3" t="s">
        <v>21</v>
      </c>
      <c r="H374" s="3">
        <v>24188</v>
      </c>
      <c r="I374" s="3">
        <v>414</v>
      </c>
      <c r="J374" s="3">
        <v>7</v>
      </c>
      <c r="K374" s="12">
        <v>408.89</v>
      </c>
      <c r="L374" s="10">
        <v>601.61</v>
      </c>
      <c r="M374" s="16">
        <f t="shared" si="25"/>
        <v>1.7115925252191168E-2</v>
      </c>
      <c r="N374" s="18">
        <f t="shared" si="26"/>
        <v>1.6908212560386472E-2</v>
      </c>
      <c r="O374" s="8">
        <f t="shared" si="27"/>
        <v>58.412857142857142</v>
      </c>
      <c r="P374" s="14">
        <f t="shared" si="28"/>
        <v>192.72000000000003</v>
      </c>
      <c r="Q374" s="16">
        <f t="shared" si="29"/>
        <v>0.47132480618259198</v>
      </c>
    </row>
    <row r="375" spans="1:17" x14ac:dyDescent="0.2">
      <c r="A375" s="2">
        <v>45688</v>
      </c>
      <c r="B375" s="3" t="s">
        <v>172</v>
      </c>
      <c r="C375" s="3" t="s">
        <v>97</v>
      </c>
      <c r="D375" s="3" t="s">
        <v>46</v>
      </c>
      <c r="E375" s="3" t="s">
        <v>15</v>
      </c>
      <c r="F375" s="3" t="s">
        <v>47</v>
      </c>
      <c r="G375" s="3" t="s">
        <v>17</v>
      </c>
      <c r="H375" s="3">
        <v>11337</v>
      </c>
      <c r="I375" s="3">
        <v>214</v>
      </c>
      <c r="J375" s="3">
        <v>3</v>
      </c>
      <c r="K375" s="12">
        <v>280.3</v>
      </c>
      <c r="L375" s="10">
        <v>148.94</v>
      </c>
      <c r="M375" s="16">
        <f t="shared" si="25"/>
        <v>1.8876245920437504E-2</v>
      </c>
      <c r="N375" s="18">
        <f t="shared" si="26"/>
        <v>1.4018691588785047E-2</v>
      </c>
      <c r="O375" s="8">
        <f t="shared" si="27"/>
        <v>93.433333333333337</v>
      </c>
      <c r="P375" s="14">
        <f t="shared" si="28"/>
        <v>-131.36000000000001</v>
      </c>
      <c r="Q375" s="16">
        <f t="shared" si="29"/>
        <v>-0.4686407420620764</v>
      </c>
    </row>
    <row r="376" spans="1:17" x14ac:dyDescent="0.2">
      <c r="A376" s="2">
        <v>45688</v>
      </c>
      <c r="B376" s="3" t="s">
        <v>726</v>
      </c>
      <c r="C376" s="3" t="s">
        <v>43</v>
      </c>
      <c r="D376" s="3" t="s">
        <v>37</v>
      </c>
      <c r="E376" s="3" t="s">
        <v>15</v>
      </c>
      <c r="F376" s="3" t="s">
        <v>50</v>
      </c>
      <c r="G376" s="3" t="s">
        <v>17</v>
      </c>
      <c r="H376" s="3">
        <v>5590</v>
      </c>
      <c r="I376" s="3">
        <v>143</v>
      </c>
      <c r="J376" s="3">
        <v>1</v>
      </c>
      <c r="K376" s="12">
        <v>936.97</v>
      </c>
      <c r="L376" s="10">
        <v>164.87</v>
      </c>
      <c r="M376" s="16">
        <f t="shared" si="25"/>
        <v>2.5581395348837209E-2</v>
      </c>
      <c r="N376" s="18">
        <f t="shared" si="26"/>
        <v>6.993006993006993E-3</v>
      </c>
      <c r="O376" s="8">
        <f t="shared" si="27"/>
        <v>936.97</v>
      </c>
      <c r="P376" s="14">
        <f t="shared" si="28"/>
        <v>-772.1</v>
      </c>
      <c r="Q376" s="16">
        <f t="shared" si="29"/>
        <v>-0.8240391901555012</v>
      </c>
    </row>
    <row r="377" spans="1:17" x14ac:dyDescent="0.2">
      <c r="A377" s="2">
        <v>45688</v>
      </c>
      <c r="B377" s="3" t="s">
        <v>727</v>
      </c>
      <c r="C377" s="3" t="s">
        <v>97</v>
      </c>
      <c r="D377" s="3" t="s">
        <v>46</v>
      </c>
      <c r="E377" s="3" t="s">
        <v>31</v>
      </c>
      <c r="F377" s="3" t="s">
        <v>50</v>
      </c>
      <c r="G377" s="3" t="s">
        <v>17</v>
      </c>
      <c r="H377" s="3">
        <v>18499</v>
      </c>
      <c r="I377" s="3">
        <v>603</v>
      </c>
      <c r="J377" s="3">
        <v>21</v>
      </c>
      <c r="K377" s="12">
        <v>1017.25</v>
      </c>
      <c r="L377" s="10">
        <v>1214.01</v>
      </c>
      <c r="M377" s="16">
        <f t="shared" si="25"/>
        <v>3.2596356559814042E-2</v>
      </c>
      <c r="N377" s="18">
        <f t="shared" si="26"/>
        <v>3.482587064676617E-2</v>
      </c>
      <c r="O377" s="8">
        <f t="shared" si="27"/>
        <v>48.44047619047619</v>
      </c>
      <c r="P377" s="14">
        <f t="shared" si="28"/>
        <v>196.76</v>
      </c>
      <c r="Q377" s="16">
        <f t="shared" si="29"/>
        <v>0.19342344556402064</v>
      </c>
    </row>
    <row r="378" spans="1:17" x14ac:dyDescent="0.2">
      <c r="A378" s="2">
        <v>45688</v>
      </c>
      <c r="B378" s="3" t="s">
        <v>504</v>
      </c>
      <c r="C378" s="3" t="s">
        <v>43</v>
      </c>
      <c r="D378" s="3" t="s">
        <v>37</v>
      </c>
      <c r="E378" s="3" t="s">
        <v>20</v>
      </c>
      <c r="F378" s="3" t="s">
        <v>16</v>
      </c>
      <c r="G378" s="3" t="s">
        <v>17</v>
      </c>
      <c r="H378" s="3">
        <v>2236</v>
      </c>
      <c r="I378" s="3">
        <v>52</v>
      </c>
      <c r="J378" s="3">
        <v>1</v>
      </c>
      <c r="K378" s="12">
        <v>369.97</v>
      </c>
      <c r="L378" s="10">
        <v>193.69</v>
      </c>
      <c r="M378" s="16">
        <f t="shared" si="25"/>
        <v>2.3255813953488372E-2</v>
      </c>
      <c r="N378" s="18">
        <f t="shared" si="26"/>
        <v>1.9230769230769232E-2</v>
      </c>
      <c r="O378" s="8">
        <f t="shared" si="27"/>
        <v>369.97</v>
      </c>
      <c r="P378" s="14">
        <f t="shared" si="28"/>
        <v>-176.28000000000003</v>
      </c>
      <c r="Q378" s="16">
        <f t="shared" si="29"/>
        <v>-0.47647106522150451</v>
      </c>
    </row>
    <row r="379" spans="1:17" x14ac:dyDescent="0.2">
      <c r="A379" s="2">
        <v>45688</v>
      </c>
      <c r="B379" s="3" t="s">
        <v>728</v>
      </c>
      <c r="C379" s="3" t="s">
        <v>110</v>
      </c>
      <c r="D379" s="3" t="s">
        <v>24</v>
      </c>
      <c r="E379" s="3" t="s">
        <v>31</v>
      </c>
      <c r="F379" s="3" t="s">
        <v>29</v>
      </c>
      <c r="G379" s="3" t="s">
        <v>21</v>
      </c>
      <c r="H379" s="3">
        <v>3243</v>
      </c>
      <c r="I379" s="3">
        <v>485</v>
      </c>
      <c r="J379" s="3">
        <v>117</v>
      </c>
      <c r="K379" s="12">
        <v>110.23</v>
      </c>
      <c r="L379" s="10">
        <v>19034.13</v>
      </c>
      <c r="M379" s="16">
        <f t="shared" si="25"/>
        <v>0.14955288313290163</v>
      </c>
      <c r="N379" s="18">
        <f t="shared" si="26"/>
        <v>0.24123711340206186</v>
      </c>
      <c r="O379" s="8">
        <f t="shared" si="27"/>
        <v>0.94213675213675219</v>
      </c>
      <c r="P379" s="14">
        <f t="shared" si="28"/>
        <v>18923.900000000001</v>
      </c>
      <c r="Q379" s="16">
        <f t="shared" si="29"/>
        <v>171.67649460219542</v>
      </c>
    </row>
    <row r="380" spans="1:17" x14ac:dyDescent="0.2">
      <c r="A380" s="2">
        <v>45688</v>
      </c>
      <c r="B380" s="3" t="s">
        <v>260</v>
      </c>
      <c r="C380" s="3" t="s">
        <v>97</v>
      </c>
      <c r="D380" s="3" t="s">
        <v>46</v>
      </c>
      <c r="E380" s="3" t="s">
        <v>20</v>
      </c>
      <c r="F380" s="3" t="s">
        <v>50</v>
      </c>
      <c r="G380" s="3" t="s">
        <v>17</v>
      </c>
      <c r="H380" s="3">
        <v>12330</v>
      </c>
      <c r="I380" s="3">
        <v>317</v>
      </c>
      <c r="J380" s="3">
        <v>4</v>
      </c>
      <c r="K380" s="12">
        <v>588.63</v>
      </c>
      <c r="L380" s="10">
        <v>262.77</v>
      </c>
      <c r="M380" s="16">
        <f t="shared" si="25"/>
        <v>2.5709651257096514E-2</v>
      </c>
      <c r="N380" s="18">
        <f t="shared" si="26"/>
        <v>1.2618296529968454E-2</v>
      </c>
      <c r="O380" s="8">
        <f t="shared" si="27"/>
        <v>147.1575</v>
      </c>
      <c r="P380" s="14">
        <f t="shared" si="28"/>
        <v>-325.86</v>
      </c>
      <c r="Q380" s="16">
        <f t="shared" si="29"/>
        <v>-0.55359054074715863</v>
      </c>
    </row>
    <row r="381" spans="1:17" x14ac:dyDescent="0.2">
      <c r="A381" s="2">
        <v>45688</v>
      </c>
      <c r="B381" s="3" t="s">
        <v>269</v>
      </c>
      <c r="C381" s="3" t="s">
        <v>19</v>
      </c>
      <c r="D381" s="3" t="s">
        <v>14</v>
      </c>
      <c r="E381" s="3" t="s">
        <v>31</v>
      </c>
      <c r="F381" s="3" t="s">
        <v>50</v>
      </c>
      <c r="G381" s="3" t="s">
        <v>17</v>
      </c>
      <c r="H381" s="3">
        <v>14646</v>
      </c>
      <c r="I381" s="3">
        <v>717</v>
      </c>
      <c r="J381" s="3">
        <v>35</v>
      </c>
      <c r="K381" s="12">
        <v>2024.46</v>
      </c>
      <c r="L381" s="10">
        <v>3906.93</v>
      </c>
      <c r="M381" s="16">
        <f t="shared" si="25"/>
        <v>4.895534616960262E-2</v>
      </c>
      <c r="N381" s="18">
        <f t="shared" si="26"/>
        <v>4.8814504881450491E-2</v>
      </c>
      <c r="O381" s="8">
        <f t="shared" si="27"/>
        <v>57.841714285714289</v>
      </c>
      <c r="P381" s="14">
        <f t="shared" si="28"/>
        <v>1882.4699999999998</v>
      </c>
      <c r="Q381" s="16">
        <f t="shared" si="29"/>
        <v>0.92986277822234065</v>
      </c>
    </row>
    <row r="382" spans="1:17" x14ac:dyDescent="0.2">
      <c r="A382" s="2">
        <v>45688</v>
      </c>
      <c r="B382" s="3" t="s">
        <v>300</v>
      </c>
      <c r="C382" s="3" t="s">
        <v>97</v>
      </c>
      <c r="D382" s="3" t="s">
        <v>46</v>
      </c>
      <c r="E382" s="3" t="s">
        <v>15</v>
      </c>
      <c r="F382" s="3" t="s">
        <v>47</v>
      </c>
      <c r="G382" s="3" t="s">
        <v>25</v>
      </c>
      <c r="H382" s="3">
        <v>13922</v>
      </c>
      <c r="I382" s="3">
        <v>394</v>
      </c>
      <c r="J382" s="3">
        <v>7</v>
      </c>
      <c r="K382" s="12">
        <v>498.64</v>
      </c>
      <c r="L382" s="10">
        <v>364.15</v>
      </c>
      <c r="M382" s="16">
        <f t="shared" si="25"/>
        <v>2.8300531532825742E-2</v>
      </c>
      <c r="N382" s="18">
        <f t="shared" si="26"/>
        <v>1.7766497461928935E-2</v>
      </c>
      <c r="O382" s="8">
        <f t="shared" si="27"/>
        <v>71.234285714285718</v>
      </c>
      <c r="P382" s="14">
        <f t="shared" si="28"/>
        <v>-134.49</v>
      </c>
      <c r="Q382" s="16">
        <f t="shared" si="29"/>
        <v>-0.269713621049254</v>
      </c>
    </row>
    <row r="383" spans="1:17" x14ac:dyDescent="0.2">
      <c r="A383" s="2">
        <v>45688</v>
      </c>
      <c r="B383" s="3" t="s">
        <v>305</v>
      </c>
      <c r="C383" s="3" t="s">
        <v>58</v>
      </c>
      <c r="D383" s="3" t="s">
        <v>37</v>
      </c>
      <c r="E383" s="3" t="s">
        <v>15</v>
      </c>
      <c r="F383" s="3" t="s">
        <v>16</v>
      </c>
      <c r="G383" s="3" t="s">
        <v>17</v>
      </c>
      <c r="H383" s="3">
        <v>5195</v>
      </c>
      <c r="I383" s="3">
        <v>238</v>
      </c>
      <c r="J383" s="3">
        <v>2</v>
      </c>
      <c r="K383" s="12">
        <v>1605.27</v>
      </c>
      <c r="L383" s="10">
        <v>247.61</v>
      </c>
      <c r="M383" s="16">
        <f t="shared" si="25"/>
        <v>4.5813282001924929E-2</v>
      </c>
      <c r="N383" s="18">
        <f t="shared" si="26"/>
        <v>8.4033613445378148E-3</v>
      </c>
      <c r="O383" s="8">
        <f t="shared" si="27"/>
        <v>802.63499999999999</v>
      </c>
      <c r="P383" s="14">
        <f t="shared" si="28"/>
        <v>-1357.6599999999999</v>
      </c>
      <c r="Q383" s="16">
        <f t="shared" si="29"/>
        <v>-0.84575180499230651</v>
      </c>
    </row>
    <row r="384" spans="1:17" x14ac:dyDescent="0.2">
      <c r="A384" s="2">
        <v>45688</v>
      </c>
      <c r="B384" s="3" t="s">
        <v>338</v>
      </c>
      <c r="C384" s="3" t="s">
        <v>49</v>
      </c>
      <c r="D384" s="3" t="s">
        <v>46</v>
      </c>
      <c r="E384" s="3" t="s">
        <v>20</v>
      </c>
      <c r="F384" s="3" t="s">
        <v>16</v>
      </c>
      <c r="G384" s="3" t="s">
        <v>17</v>
      </c>
      <c r="H384" s="3">
        <v>9569</v>
      </c>
      <c r="I384" s="3">
        <v>373</v>
      </c>
      <c r="J384" s="3">
        <v>8</v>
      </c>
      <c r="K384" s="12">
        <v>588.03</v>
      </c>
      <c r="L384" s="10">
        <v>797.12</v>
      </c>
      <c r="M384" s="16">
        <f t="shared" si="25"/>
        <v>3.8980039711568604E-2</v>
      </c>
      <c r="N384" s="18">
        <f t="shared" si="26"/>
        <v>2.1447721179624665E-2</v>
      </c>
      <c r="O384" s="8">
        <f t="shared" si="27"/>
        <v>73.503749999999997</v>
      </c>
      <c r="P384" s="14">
        <f t="shared" si="28"/>
        <v>209.09000000000003</v>
      </c>
      <c r="Q384" s="16">
        <f t="shared" si="29"/>
        <v>0.35557709640664598</v>
      </c>
    </row>
    <row r="385" spans="1:17" x14ac:dyDescent="0.2">
      <c r="A385" s="2">
        <v>45689</v>
      </c>
      <c r="B385" s="3" t="s">
        <v>729</v>
      </c>
      <c r="C385" s="3" t="s">
        <v>13</v>
      </c>
      <c r="D385" s="3" t="s">
        <v>14</v>
      </c>
      <c r="E385" s="3" t="s">
        <v>31</v>
      </c>
      <c r="F385" s="3" t="s">
        <v>29</v>
      </c>
      <c r="G385" s="3" t="s">
        <v>21</v>
      </c>
      <c r="H385" s="3">
        <v>6368</v>
      </c>
      <c r="I385" s="3">
        <v>347</v>
      </c>
      <c r="J385" s="3">
        <v>16</v>
      </c>
      <c r="K385" s="12">
        <v>997.42</v>
      </c>
      <c r="L385" s="10">
        <v>1392.68</v>
      </c>
      <c r="M385" s="16">
        <f t="shared" si="25"/>
        <v>5.449120603015075E-2</v>
      </c>
      <c r="N385" s="18">
        <f t="shared" si="26"/>
        <v>4.6109510086455328E-2</v>
      </c>
      <c r="O385" s="8">
        <f t="shared" si="27"/>
        <v>62.338749999999997</v>
      </c>
      <c r="P385" s="14">
        <f t="shared" si="28"/>
        <v>395.2600000000001</v>
      </c>
      <c r="Q385" s="16">
        <f t="shared" si="29"/>
        <v>0.39628240861422481</v>
      </c>
    </row>
    <row r="386" spans="1:17" x14ac:dyDescent="0.2">
      <c r="A386" s="2">
        <v>45689</v>
      </c>
      <c r="B386" s="3" t="s">
        <v>730</v>
      </c>
      <c r="C386" s="3" t="s">
        <v>13</v>
      </c>
      <c r="D386" s="3" t="s">
        <v>14</v>
      </c>
      <c r="E386" s="3" t="s">
        <v>31</v>
      </c>
      <c r="F386" s="3" t="s">
        <v>29</v>
      </c>
      <c r="G386" s="3" t="s">
        <v>17</v>
      </c>
      <c r="H386" s="3">
        <v>6312</v>
      </c>
      <c r="I386" s="3">
        <v>398</v>
      </c>
      <c r="J386" s="3">
        <v>17</v>
      </c>
      <c r="K386" s="12">
        <v>752.34</v>
      </c>
      <c r="L386" s="9">
        <v>1147.67</v>
      </c>
      <c r="M386" s="16">
        <f t="shared" si="25"/>
        <v>6.3054499366286432E-2</v>
      </c>
      <c r="N386" s="18">
        <f t="shared" si="26"/>
        <v>4.2713567839195977E-2</v>
      </c>
      <c r="O386" s="8">
        <f t="shared" si="27"/>
        <v>44.255294117647061</v>
      </c>
      <c r="P386" s="14">
        <f t="shared" si="28"/>
        <v>395.33000000000004</v>
      </c>
      <c r="Q386" s="16">
        <f t="shared" si="29"/>
        <v>0.5254672089746657</v>
      </c>
    </row>
    <row r="387" spans="1:17" x14ac:dyDescent="0.2">
      <c r="A387" s="2">
        <v>45689</v>
      </c>
      <c r="B387" s="3" t="s">
        <v>731</v>
      </c>
      <c r="C387" s="3" t="s">
        <v>97</v>
      </c>
      <c r="D387" s="3" t="s">
        <v>46</v>
      </c>
      <c r="E387" s="3" t="s">
        <v>31</v>
      </c>
      <c r="F387" s="3" t="s">
        <v>47</v>
      </c>
      <c r="G387" s="3" t="s">
        <v>21</v>
      </c>
      <c r="H387" s="3">
        <v>11938</v>
      </c>
      <c r="I387" s="3">
        <v>490</v>
      </c>
      <c r="J387" s="3">
        <v>20</v>
      </c>
      <c r="K387" s="12">
        <v>835.44</v>
      </c>
      <c r="L387" s="9">
        <v>1675.86</v>
      </c>
      <c r="M387" s="16">
        <f t="shared" ref="M387:M450" si="30">IFERROR(I387/H387,0)</f>
        <v>4.1045401239738648E-2</v>
      </c>
      <c r="N387" s="18">
        <f t="shared" ref="N387:N450" si="31">IFERROR(J387/I387,0)</f>
        <v>4.0816326530612242E-2</v>
      </c>
      <c r="O387" s="8">
        <f t="shared" ref="O387:O450" si="32">IFERROR(K387/J387,0)</f>
        <v>41.772000000000006</v>
      </c>
      <c r="P387" s="14">
        <f t="shared" ref="P387:P450" si="33">L387-K387</f>
        <v>840.41999999999985</v>
      </c>
      <c r="Q387" s="16">
        <f t="shared" ref="Q387:Q450" si="34">IFERROR((L387-K387)/K387,0)</f>
        <v>1.0059609307670208</v>
      </c>
    </row>
    <row r="388" spans="1:17" x14ac:dyDescent="0.2">
      <c r="A388" s="2">
        <v>45689</v>
      </c>
      <c r="B388" s="3" t="s">
        <v>732</v>
      </c>
      <c r="C388" s="3" t="s">
        <v>39</v>
      </c>
      <c r="D388" s="3" t="s">
        <v>28</v>
      </c>
      <c r="E388" s="3" t="s">
        <v>20</v>
      </c>
      <c r="F388" s="3" t="s">
        <v>47</v>
      </c>
      <c r="G388" s="3" t="s">
        <v>25</v>
      </c>
      <c r="H388" s="3">
        <v>21259</v>
      </c>
      <c r="I388" s="3">
        <v>514</v>
      </c>
      <c r="J388" s="3">
        <v>8</v>
      </c>
      <c r="K388" s="12">
        <v>690.98</v>
      </c>
      <c r="L388" s="9">
        <v>636.85</v>
      </c>
      <c r="M388" s="16">
        <f t="shared" si="30"/>
        <v>2.4177995202032079E-2</v>
      </c>
      <c r="N388" s="18">
        <f t="shared" si="31"/>
        <v>1.556420233463035E-2</v>
      </c>
      <c r="O388" s="8">
        <f t="shared" si="32"/>
        <v>86.372500000000002</v>
      </c>
      <c r="P388" s="14">
        <f t="shared" si="33"/>
        <v>-54.129999999999995</v>
      </c>
      <c r="Q388" s="16">
        <f t="shared" si="34"/>
        <v>-7.8338012677646229E-2</v>
      </c>
    </row>
    <row r="389" spans="1:17" x14ac:dyDescent="0.2">
      <c r="A389" s="2">
        <v>45689</v>
      </c>
      <c r="B389" s="3" t="s">
        <v>341</v>
      </c>
      <c r="C389" s="3" t="s">
        <v>39</v>
      </c>
      <c r="D389" s="3" t="s">
        <v>28</v>
      </c>
      <c r="E389" s="3" t="s">
        <v>20</v>
      </c>
      <c r="F389" s="3" t="s">
        <v>29</v>
      </c>
      <c r="G389" s="3" t="s">
        <v>17</v>
      </c>
      <c r="H389" s="3">
        <v>21984</v>
      </c>
      <c r="I389" s="3">
        <v>339</v>
      </c>
      <c r="J389" s="3">
        <v>1</v>
      </c>
      <c r="K389" s="12">
        <v>342.04</v>
      </c>
      <c r="L389" s="9">
        <v>43.59</v>
      </c>
      <c r="M389" s="16">
        <f t="shared" si="30"/>
        <v>1.5420305676855895E-2</v>
      </c>
      <c r="N389" s="18">
        <f t="shared" si="31"/>
        <v>2.9498525073746312E-3</v>
      </c>
      <c r="O389" s="8">
        <f t="shared" si="32"/>
        <v>342.04</v>
      </c>
      <c r="P389" s="14">
        <f t="shared" si="33"/>
        <v>-298.45000000000005</v>
      </c>
      <c r="Q389" s="16">
        <f t="shared" si="34"/>
        <v>-0.87255876505671859</v>
      </c>
    </row>
    <row r="390" spans="1:17" x14ac:dyDescent="0.2">
      <c r="A390" s="2">
        <v>45689</v>
      </c>
      <c r="B390" s="3" t="s">
        <v>421</v>
      </c>
      <c r="C390" s="3" t="s">
        <v>97</v>
      </c>
      <c r="D390" s="3" t="s">
        <v>46</v>
      </c>
      <c r="E390" s="3" t="s">
        <v>20</v>
      </c>
      <c r="F390" s="3" t="s">
        <v>47</v>
      </c>
      <c r="G390" s="3" t="s">
        <v>21</v>
      </c>
      <c r="H390" s="3">
        <v>10044</v>
      </c>
      <c r="I390" s="3">
        <v>386</v>
      </c>
      <c r="J390" s="3">
        <v>7</v>
      </c>
      <c r="K390" s="12">
        <v>746.9</v>
      </c>
      <c r="L390" s="9">
        <v>450.7</v>
      </c>
      <c r="M390" s="16">
        <f t="shared" si="30"/>
        <v>3.8430904022301871E-2</v>
      </c>
      <c r="N390" s="18">
        <f t="shared" si="31"/>
        <v>1.8134715025906734E-2</v>
      </c>
      <c r="O390" s="8">
        <f t="shared" si="32"/>
        <v>106.7</v>
      </c>
      <c r="P390" s="14">
        <f t="shared" si="33"/>
        <v>-296.2</v>
      </c>
      <c r="Q390" s="16">
        <f t="shared" si="34"/>
        <v>-0.39657249966528318</v>
      </c>
    </row>
    <row r="391" spans="1:17" x14ac:dyDescent="0.2">
      <c r="A391" s="2">
        <v>45689</v>
      </c>
      <c r="B391" s="3" t="s">
        <v>381</v>
      </c>
      <c r="C391" s="3" t="s">
        <v>110</v>
      </c>
      <c r="D391" s="3" t="s">
        <v>24</v>
      </c>
      <c r="E391" s="3" t="s">
        <v>20</v>
      </c>
      <c r="F391" s="3" t="s">
        <v>47</v>
      </c>
      <c r="G391" s="3" t="s">
        <v>21</v>
      </c>
      <c r="H391" s="3">
        <v>1429</v>
      </c>
      <c r="I391" s="3">
        <v>129</v>
      </c>
      <c r="J391" s="3">
        <v>13</v>
      </c>
      <c r="K391" s="12">
        <v>31.82</v>
      </c>
      <c r="L391" s="9">
        <v>1281.17</v>
      </c>
      <c r="M391" s="16">
        <f t="shared" si="30"/>
        <v>9.0272918124562632E-2</v>
      </c>
      <c r="N391" s="18">
        <f t="shared" si="31"/>
        <v>0.10077519379844961</v>
      </c>
      <c r="O391" s="8">
        <f t="shared" si="32"/>
        <v>2.4476923076923076</v>
      </c>
      <c r="P391" s="14">
        <f t="shared" si="33"/>
        <v>1249.3500000000001</v>
      </c>
      <c r="Q391" s="16">
        <f t="shared" si="34"/>
        <v>39.263042111879322</v>
      </c>
    </row>
    <row r="392" spans="1:17" x14ac:dyDescent="0.2">
      <c r="A392" s="2">
        <v>45689</v>
      </c>
      <c r="B392" s="3" t="s">
        <v>733</v>
      </c>
      <c r="C392" s="3" t="s">
        <v>71</v>
      </c>
      <c r="D392" s="3" t="s">
        <v>37</v>
      </c>
      <c r="E392" s="3" t="s">
        <v>20</v>
      </c>
      <c r="F392" s="3" t="s">
        <v>29</v>
      </c>
      <c r="G392" s="3" t="s">
        <v>17</v>
      </c>
      <c r="H392" s="3">
        <v>6119</v>
      </c>
      <c r="I392" s="3">
        <v>135</v>
      </c>
      <c r="J392" s="3">
        <v>3</v>
      </c>
      <c r="K392" s="12">
        <v>748.58</v>
      </c>
      <c r="L392" s="9">
        <v>571.16</v>
      </c>
      <c r="M392" s="16">
        <f t="shared" si="30"/>
        <v>2.2062428501389116E-2</v>
      </c>
      <c r="N392" s="18">
        <f t="shared" si="31"/>
        <v>2.2222222222222223E-2</v>
      </c>
      <c r="O392" s="8">
        <f t="shared" si="32"/>
        <v>249.52666666666667</v>
      </c>
      <c r="P392" s="14">
        <f t="shared" si="33"/>
        <v>-177.42000000000007</v>
      </c>
      <c r="Q392" s="16">
        <f t="shared" si="34"/>
        <v>-0.23700873654118473</v>
      </c>
    </row>
    <row r="393" spans="1:17" x14ac:dyDescent="0.2">
      <c r="A393" s="2">
        <v>45689</v>
      </c>
      <c r="B393" s="3" t="s">
        <v>386</v>
      </c>
      <c r="C393" s="3" t="s">
        <v>45</v>
      </c>
      <c r="D393" s="3" t="s">
        <v>46</v>
      </c>
      <c r="E393" s="3" t="s">
        <v>31</v>
      </c>
      <c r="F393" s="3" t="s">
        <v>34</v>
      </c>
      <c r="G393" s="3" t="s">
        <v>21</v>
      </c>
      <c r="H393" s="3">
        <v>15888</v>
      </c>
      <c r="I393" s="3">
        <v>585</v>
      </c>
      <c r="J393" s="3">
        <v>30</v>
      </c>
      <c r="K393" s="12">
        <v>611.99</v>
      </c>
      <c r="L393" s="9">
        <v>2105.48</v>
      </c>
      <c r="M393" s="16">
        <f t="shared" si="30"/>
        <v>3.6820241691842899E-2</v>
      </c>
      <c r="N393" s="18">
        <f t="shared" si="31"/>
        <v>5.128205128205128E-2</v>
      </c>
      <c r="O393" s="8">
        <f t="shared" si="32"/>
        <v>20.399666666666668</v>
      </c>
      <c r="P393" s="14">
        <f t="shared" si="33"/>
        <v>1493.49</v>
      </c>
      <c r="Q393" s="16">
        <f t="shared" si="34"/>
        <v>2.4403830127943267</v>
      </c>
    </row>
    <row r="394" spans="1:17" x14ac:dyDescent="0.2">
      <c r="A394" s="2">
        <v>45689</v>
      </c>
      <c r="B394" s="3" t="s">
        <v>409</v>
      </c>
      <c r="C394" s="3" t="s">
        <v>27</v>
      </c>
      <c r="D394" s="3" t="s">
        <v>28</v>
      </c>
      <c r="E394" s="3" t="s">
        <v>20</v>
      </c>
      <c r="F394" s="3" t="s">
        <v>50</v>
      </c>
      <c r="G394" s="3" t="s">
        <v>17</v>
      </c>
      <c r="H394" s="3">
        <v>20708</v>
      </c>
      <c r="I394" s="3">
        <v>606</v>
      </c>
      <c r="J394" s="3">
        <v>7</v>
      </c>
      <c r="K394" s="12">
        <v>667.94</v>
      </c>
      <c r="L394" s="9">
        <v>360.79</v>
      </c>
      <c r="M394" s="16">
        <f t="shared" si="30"/>
        <v>2.9264052540081128E-2</v>
      </c>
      <c r="N394" s="18">
        <f t="shared" si="31"/>
        <v>1.155115511551155E-2</v>
      </c>
      <c r="O394" s="8">
        <f t="shared" si="32"/>
        <v>95.42</v>
      </c>
      <c r="P394" s="14">
        <f t="shared" si="33"/>
        <v>-307.15000000000003</v>
      </c>
      <c r="Q394" s="16">
        <f t="shared" si="34"/>
        <v>-0.45984669281672008</v>
      </c>
    </row>
    <row r="395" spans="1:17" x14ac:dyDescent="0.2">
      <c r="A395" s="2">
        <v>45689</v>
      </c>
      <c r="B395" s="3" t="s">
        <v>734</v>
      </c>
      <c r="C395" s="3" t="s">
        <v>71</v>
      </c>
      <c r="D395" s="3" t="s">
        <v>37</v>
      </c>
      <c r="E395" s="3" t="s">
        <v>20</v>
      </c>
      <c r="F395" s="3" t="s">
        <v>47</v>
      </c>
      <c r="G395" s="3" t="s">
        <v>17</v>
      </c>
      <c r="H395" s="3">
        <v>5533</v>
      </c>
      <c r="I395" s="3">
        <v>226</v>
      </c>
      <c r="J395" s="3">
        <v>2</v>
      </c>
      <c r="K395" s="12">
        <v>1753.62</v>
      </c>
      <c r="L395" s="9">
        <v>221.98</v>
      </c>
      <c r="M395" s="16">
        <f t="shared" si="30"/>
        <v>4.0845834086390746E-2</v>
      </c>
      <c r="N395" s="18">
        <f t="shared" si="31"/>
        <v>8.8495575221238937E-3</v>
      </c>
      <c r="O395" s="8">
        <f t="shared" si="32"/>
        <v>876.81</v>
      </c>
      <c r="P395" s="14">
        <f t="shared" si="33"/>
        <v>-1531.6399999999999</v>
      </c>
      <c r="Q395" s="16">
        <f t="shared" si="34"/>
        <v>-0.87341613348387903</v>
      </c>
    </row>
    <row r="396" spans="1:17" x14ac:dyDescent="0.2">
      <c r="A396" s="2">
        <v>45690</v>
      </c>
      <c r="B396" s="3" t="s">
        <v>735</v>
      </c>
      <c r="C396" s="3" t="s">
        <v>71</v>
      </c>
      <c r="D396" s="3" t="s">
        <v>37</v>
      </c>
      <c r="E396" s="3" t="s">
        <v>20</v>
      </c>
      <c r="F396" s="3" t="s">
        <v>29</v>
      </c>
      <c r="G396" s="3" t="s">
        <v>17</v>
      </c>
      <c r="H396" s="3">
        <v>5620</v>
      </c>
      <c r="I396" s="3">
        <v>172</v>
      </c>
      <c r="J396" s="3">
        <v>3</v>
      </c>
      <c r="K396" s="12">
        <v>1258.17</v>
      </c>
      <c r="L396" s="9">
        <v>373.07</v>
      </c>
      <c r="M396" s="16">
        <f t="shared" si="30"/>
        <v>3.0604982206405694E-2</v>
      </c>
      <c r="N396" s="18">
        <f t="shared" si="31"/>
        <v>1.7441860465116279E-2</v>
      </c>
      <c r="O396" s="8">
        <f t="shared" si="32"/>
        <v>419.39000000000004</v>
      </c>
      <c r="P396" s="14">
        <f t="shared" si="33"/>
        <v>-885.10000000000014</v>
      </c>
      <c r="Q396" s="16">
        <f t="shared" si="34"/>
        <v>-0.70348204137755632</v>
      </c>
    </row>
    <row r="397" spans="1:17" x14ac:dyDescent="0.2">
      <c r="A397" s="2">
        <v>45690</v>
      </c>
      <c r="B397" s="3" t="s">
        <v>736</v>
      </c>
      <c r="C397" s="3" t="s">
        <v>19</v>
      </c>
      <c r="D397" s="3" t="s">
        <v>14</v>
      </c>
      <c r="E397" s="3" t="s">
        <v>15</v>
      </c>
      <c r="F397" s="3" t="s">
        <v>29</v>
      </c>
      <c r="G397" s="3" t="s">
        <v>21</v>
      </c>
      <c r="H397" s="3">
        <v>5515</v>
      </c>
      <c r="I397" s="3">
        <v>248</v>
      </c>
      <c r="J397" s="3">
        <v>8</v>
      </c>
      <c r="K397" s="12">
        <v>706.28</v>
      </c>
      <c r="L397" s="9">
        <v>617.88</v>
      </c>
      <c r="M397" s="16">
        <f t="shared" si="30"/>
        <v>4.4968268359020853E-2</v>
      </c>
      <c r="N397" s="18">
        <f t="shared" si="31"/>
        <v>3.2258064516129031E-2</v>
      </c>
      <c r="O397" s="8">
        <f t="shared" si="32"/>
        <v>88.284999999999997</v>
      </c>
      <c r="P397" s="14">
        <f t="shared" si="33"/>
        <v>-88.399999999999977</v>
      </c>
      <c r="Q397" s="16">
        <f t="shared" si="34"/>
        <v>-0.12516282494194933</v>
      </c>
    </row>
    <row r="398" spans="1:17" x14ac:dyDescent="0.2">
      <c r="A398" s="2">
        <v>45690</v>
      </c>
      <c r="B398" s="3" t="s">
        <v>262</v>
      </c>
      <c r="C398" s="3" t="s">
        <v>58</v>
      </c>
      <c r="D398" s="3" t="s">
        <v>37</v>
      </c>
      <c r="E398" s="3" t="s">
        <v>31</v>
      </c>
      <c r="F398" s="3" t="s">
        <v>50</v>
      </c>
      <c r="G398" s="3" t="s">
        <v>17</v>
      </c>
      <c r="H398" s="3">
        <v>4490</v>
      </c>
      <c r="I398" s="3">
        <v>191</v>
      </c>
      <c r="J398" s="3">
        <v>5</v>
      </c>
      <c r="K398" s="12">
        <v>1530.42</v>
      </c>
      <c r="L398" s="9">
        <v>1002.02</v>
      </c>
      <c r="M398" s="16">
        <f t="shared" si="30"/>
        <v>4.2538975501113588E-2</v>
      </c>
      <c r="N398" s="18">
        <f t="shared" si="31"/>
        <v>2.6178010471204188E-2</v>
      </c>
      <c r="O398" s="8">
        <f t="shared" si="32"/>
        <v>306.084</v>
      </c>
      <c r="P398" s="14">
        <f t="shared" si="33"/>
        <v>-528.40000000000009</v>
      </c>
      <c r="Q398" s="16">
        <f t="shared" si="34"/>
        <v>-0.34526469857947495</v>
      </c>
    </row>
    <row r="399" spans="1:17" x14ac:dyDescent="0.2">
      <c r="A399" s="2">
        <v>45690</v>
      </c>
      <c r="B399" s="3" t="s">
        <v>737</v>
      </c>
      <c r="C399" s="3" t="s">
        <v>43</v>
      </c>
      <c r="D399" s="3" t="s">
        <v>37</v>
      </c>
      <c r="E399" s="3" t="s">
        <v>15</v>
      </c>
      <c r="F399" s="3" t="s">
        <v>16</v>
      </c>
      <c r="G399" s="3" t="s">
        <v>17</v>
      </c>
      <c r="H399" s="3">
        <v>5994</v>
      </c>
      <c r="I399" s="3">
        <v>273</v>
      </c>
      <c r="J399" s="3">
        <v>3</v>
      </c>
      <c r="K399" s="12">
        <v>1598.47</v>
      </c>
      <c r="L399" s="9">
        <v>544.30999999999995</v>
      </c>
      <c r="M399" s="16">
        <f t="shared" si="30"/>
        <v>4.5545545545545546E-2</v>
      </c>
      <c r="N399" s="18">
        <f t="shared" si="31"/>
        <v>1.098901098901099E-2</v>
      </c>
      <c r="O399" s="8">
        <f t="shared" si="32"/>
        <v>532.82333333333338</v>
      </c>
      <c r="P399" s="14">
        <f t="shared" si="33"/>
        <v>-1054.1600000000001</v>
      </c>
      <c r="Q399" s="16">
        <f t="shared" si="34"/>
        <v>-0.65948062835086052</v>
      </c>
    </row>
    <row r="400" spans="1:17" x14ac:dyDescent="0.2">
      <c r="A400" s="2">
        <v>45691</v>
      </c>
      <c r="B400" s="3" t="s">
        <v>738</v>
      </c>
      <c r="C400" s="3" t="s">
        <v>45</v>
      </c>
      <c r="D400" s="3" t="s">
        <v>46</v>
      </c>
      <c r="E400" s="3" t="s">
        <v>20</v>
      </c>
      <c r="F400" s="3" t="s">
        <v>47</v>
      </c>
      <c r="G400" s="3" t="s">
        <v>21</v>
      </c>
      <c r="H400" s="3">
        <v>16254</v>
      </c>
      <c r="I400" s="3">
        <v>289</v>
      </c>
      <c r="J400" s="3">
        <v>7</v>
      </c>
      <c r="K400" s="12">
        <v>344.6</v>
      </c>
      <c r="L400" s="9">
        <v>570.64</v>
      </c>
      <c r="M400" s="16">
        <f t="shared" si="30"/>
        <v>1.7780238710471269E-2</v>
      </c>
      <c r="N400" s="18">
        <f t="shared" si="31"/>
        <v>2.4221453287197232E-2</v>
      </c>
      <c r="O400" s="8">
        <f t="shared" si="32"/>
        <v>49.228571428571435</v>
      </c>
      <c r="P400" s="14">
        <f t="shared" si="33"/>
        <v>226.03999999999996</v>
      </c>
      <c r="Q400" s="16">
        <f t="shared" si="34"/>
        <v>0.65594892629135215</v>
      </c>
    </row>
    <row r="401" spans="1:17" x14ac:dyDescent="0.2">
      <c r="A401" s="2">
        <v>45691</v>
      </c>
      <c r="B401" s="3" t="s">
        <v>509</v>
      </c>
      <c r="C401" s="3" t="s">
        <v>41</v>
      </c>
      <c r="D401" s="3" t="s">
        <v>24</v>
      </c>
      <c r="E401" s="3" t="s">
        <v>20</v>
      </c>
      <c r="F401" s="3" t="s">
        <v>34</v>
      </c>
      <c r="G401" s="3" t="s">
        <v>21</v>
      </c>
      <c r="H401" s="3">
        <v>1630</v>
      </c>
      <c r="I401" s="3">
        <v>135</v>
      </c>
      <c r="J401" s="3">
        <v>21</v>
      </c>
      <c r="K401" s="12">
        <v>48.34</v>
      </c>
      <c r="L401" s="9">
        <v>2958.44</v>
      </c>
      <c r="M401" s="16">
        <f t="shared" si="30"/>
        <v>8.2822085889570546E-2</v>
      </c>
      <c r="N401" s="18">
        <f t="shared" si="31"/>
        <v>0.15555555555555556</v>
      </c>
      <c r="O401" s="8">
        <f t="shared" si="32"/>
        <v>2.3019047619047619</v>
      </c>
      <c r="P401" s="14">
        <f t="shared" si="33"/>
        <v>2910.1</v>
      </c>
      <c r="Q401" s="16">
        <f t="shared" si="34"/>
        <v>60.20066197765825</v>
      </c>
    </row>
    <row r="402" spans="1:17" x14ac:dyDescent="0.2">
      <c r="A402" s="2">
        <v>45691</v>
      </c>
      <c r="B402" s="3" t="s">
        <v>530</v>
      </c>
      <c r="C402" s="3" t="s">
        <v>58</v>
      </c>
      <c r="D402" s="3" t="s">
        <v>37</v>
      </c>
      <c r="E402" s="3" t="s">
        <v>20</v>
      </c>
      <c r="F402" s="3" t="s">
        <v>29</v>
      </c>
      <c r="G402" s="3" t="s">
        <v>21</v>
      </c>
      <c r="H402" s="3">
        <v>2645</v>
      </c>
      <c r="I402" s="3">
        <v>103</v>
      </c>
      <c r="J402" s="3">
        <v>2</v>
      </c>
      <c r="K402" s="12">
        <v>748.65</v>
      </c>
      <c r="L402" s="9">
        <v>296.95</v>
      </c>
      <c r="M402" s="16">
        <f t="shared" si="30"/>
        <v>3.8941398865784502E-2</v>
      </c>
      <c r="N402" s="18">
        <f t="shared" si="31"/>
        <v>1.9417475728155338E-2</v>
      </c>
      <c r="O402" s="8">
        <f t="shared" si="32"/>
        <v>374.32499999999999</v>
      </c>
      <c r="P402" s="14">
        <f t="shared" si="33"/>
        <v>-451.7</v>
      </c>
      <c r="Q402" s="16">
        <f t="shared" si="34"/>
        <v>-0.60335270152941967</v>
      </c>
    </row>
    <row r="403" spans="1:17" x14ac:dyDescent="0.2">
      <c r="A403" s="2">
        <v>45691</v>
      </c>
      <c r="B403" s="3" t="s">
        <v>739</v>
      </c>
      <c r="C403" s="3" t="s">
        <v>39</v>
      </c>
      <c r="D403" s="3" t="s">
        <v>28</v>
      </c>
      <c r="E403" s="3" t="s">
        <v>20</v>
      </c>
      <c r="F403" s="3" t="s">
        <v>34</v>
      </c>
      <c r="G403" s="3" t="s">
        <v>17</v>
      </c>
      <c r="H403" s="3">
        <v>37270</v>
      </c>
      <c r="I403" s="3">
        <v>1206</v>
      </c>
      <c r="J403" s="3">
        <v>24</v>
      </c>
      <c r="K403" s="12">
        <v>1022.16</v>
      </c>
      <c r="L403" s="9">
        <v>1724.18</v>
      </c>
      <c r="M403" s="16">
        <f t="shared" si="30"/>
        <v>3.2358465253555138E-2</v>
      </c>
      <c r="N403" s="18">
        <f t="shared" si="31"/>
        <v>1.9900497512437811E-2</v>
      </c>
      <c r="O403" s="8">
        <f t="shared" si="32"/>
        <v>42.589999999999996</v>
      </c>
      <c r="P403" s="14">
        <f t="shared" si="33"/>
        <v>702.0200000000001</v>
      </c>
      <c r="Q403" s="16">
        <f t="shared" si="34"/>
        <v>0.68680050090005496</v>
      </c>
    </row>
    <row r="404" spans="1:17" x14ac:dyDescent="0.2">
      <c r="A404" s="2">
        <v>45691</v>
      </c>
      <c r="B404" s="3" t="s">
        <v>740</v>
      </c>
      <c r="C404" s="3" t="s">
        <v>49</v>
      </c>
      <c r="D404" s="3" t="s">
        <v>46</v>
      </c>
      <c r="E404" s="3" t="s">
        <v>31</v>
      </c>
      <c r="F404" s="3" t="s">
        <v>34</v>
      </c>
      <c r="G404" s="3" t="s">
        <v>17</v>
      </c>
      <c r="H404" s="3">
        <v>16449</v>
      </c>
      <c r="I404" s="3">
        <v>555</v>
      </c>
      <c r="J404" s="3">
        <v>16</v>
      </c>
      <c r="K404" s="12">
        <v>942.1</v>
      </c>
      <c r="L404" s="9">
        <v>1603.54</v>
      </c>
      <c r="M404" s="16">
        <f t="shared" si="30"/>
        <v>3.3740652927229615E-2</v>
      </c>
      <c r="N404" s="18">
        <f t="shared" si="31"/>
        <v>2.8828828828828829E-2</v>
      </c>
      <c r="O404" s="8">
        <f t="shared" si="32"/>
        <v>58.881250000000001</v>
      </c>
      <c r="P404" s="14">
        <f t="shared" si="33"/>
        <v>661.43999999999994</v>
      </c>
      <c r="Q404" s="16">
        <f t="shared" si="34"/>
        <v>0.70209107313448671</v>
      </c>
    </row>
    <row r="405" spans="1:17" x14ac:dyDescent="0.2">
      <c r="A405" s="2">
        <v>45691</v>
      </c>
      <c r="B405" s="3" t="s">
        <v>741</v>
      </c>
      <c r="C405" s="3" t="s">
        <v>71</v>
      </c>
      <c r="D405" s="3" t="s">
        <v>37</v>
      </c>
      <c r="E405" s="3" t="s">
        <v>20</v>
      </c>
      <c r="F405" s="3" t="s">
        <v>16</v>
      </c>
      <c r="G405" s="3" t="s">
        <v>21</v>
      </c>
      <c r="H405" s="3">
        <v>2921</v>
      </c>
      <c r="I405" s="3">
        <v>141</v>
      </c>
      <c r="J405" s="3">
        <v>2</v>
      </c>
      <c r="K405" s="12">
        <v>783.1</v>
      </c>
      <c r="L405" s="9">
        <v>308.58999999999997</v>
      </c>
      <c r="M405" s="16">
        <f t="shared" si="30"/>
        <v>4.8271140020540913E-2</v>
      </c>
      <c r="N405" s="18">
        <f t="shared" si="31"/>
        <v>1.4184397163120567E-2</v>
      </c>
      <c r="O405" s="8">
        <f t="shared" si="32"/>
        <v>391.55</v>
      </c>
      <c r="P405" s="14">
        <f t="shared" si="33"/>
        <v>-474.51000000000005</v>
      </c>
      <c r="Q405" s="16">
        <f t="shared" si="34"/>
        <v>-0.60593793896054149</v>
      </c>
    </row>
    <row r="406" spans="1:17" x14ac:dyDescent="0.2">
      <c r="A406" s="2">
        <v>45691</v>
      </c>
      <c r="B406" s="3" t="s">
        <v>742</v>
      </c>
      <c r="C406" s="3" t="s">
        <v>45</v>
      </c>
      <c r="D406" s="3" t="s">
        <v>46</v>
      </c>
      <c r="E406" s="3" t="s">
        <v>20</v>
      </c>
      <c r="F406" s="3" t="s">
        <v>34</v>
      </c>
      <c r="G406" s="3" t="s">
        <v>17</v>
      </c>
      <c r="H406" s="3">
        <v>11864</v>
      </c>
      <c r="I406" s="3">
        <v>434</v>
      </c>
      <c r="J406" s="3">
        <v>10</v>
      </c>
      <c r="K406" s="12">
        <v>482.8</v>
      </c>
      <c r="L406" s="9">
        <v>712.86</v>
      </c>
      <c r="M406" s="16">
        <f t="shared" si="30"/>
        <v>3.658125421443021E-2</v>
      </c>
      <c r="N406" s="18">
        <f t="shared" si="31"/>
        <v>2.3041474654377881E-2</v>
      </c>
      <c r="O406" s="8">
        <f t="shared" si="32"/>
        <v>48.28</v>
      </c>
      <c r="P406" s="14">
        <f t="shared" si="33"/>
        <v>230.06</v>
      </c>
      <c r="Q406" s="16">
        <f t="shared" si="34"/>
        <v>0.47651201325600662</v>
      </c>
    </row>
    <row r="407" spans="1:17" x14ac:dyDescent="0.2">
      <c r="A407" s="2">
        <v>45691</v>
      </c>
      <c r="B407" s="3" t="s">
        <v>743</v>
      </c>
      <c r="C407" s="3" t="s">
        <v>156</v>
      </c>
      <c r="D407" s="3" t="s">
        <v>46</v>
      </c>
      <c r="E407" s="3" t="s">
        <v>31</v>
      </c>
      <c r="F407" s="3" t="s">
        <v>16</v>
      </c>
      <c r="G407" s="3" t="s">
        <v>17</v>
      </c>
      <c r="H407" s="3">
        <v>19536</v>
      </c>
      <c r="I407" s="3">
        <v>738</v>
      </c>
      <c r="J407" s="3">
        <v>36</v>
      </c>
      <c r="K407" s="12">
        <v>1157.26</v>
      </c>
      <c r="L407" s="9">
        <v>2037.91</v>
      </c>
      <c r="M407" s="16">
        <f t="shared" si="30"/>
        <v>3.7776412776412777E-2</v>
      </c>
      <c r="N407" s="18">
        <f t="shared" si="31"/>
        <v>4.878048780487805E-2</v>
      </c>
      <c r="O407" s="8">
        <f t="shared" si="32"/>
        <v>32.146111111111111</v>
      </c>
      <c r="P407" s="14">
        <f t="shared" si="33"/>
        <v>880.65000000000009</v>
      </c>
      <c r="Q407" s="16">
        <f t="shared" si="34"/>
        <v>0.76097851822408114</v>
      </c>
    </row>
    <row r="408" spans="1:17" x14ac:dyDescent="0.2">
      <c r="A408" s="2">
        <v>45691</v>
      </c>
      <c r="B408" s="3" t="s">
        <v>744</v>
      </c>
      <c r="C408" s="3" t="s">
        <v>58</v>
      </c>
      <c r="D408" s="3" t="s">
        <v>37</v>
      </c>
      <c r="E408" s="3" t="s">
        <v>20</v>
      </c>
      <c r="F408" s="3" t="s">
        <v>34</v>
      </c>
      <c r="G408" s="3" t="s">
        <v>17</v>
      </c>
      <c r="H408" s="3">
        <v>2312</v>
      </c>
      <c r="I408" s="3">
        <v>108</v>
      </c>
      <c r="J408" s="3">
        <v>1</v>
      </c>
      <c r="K408" s="12">
        <v>704.47</v>
      </c>
      <c r="L408" s="9">
        <v>152.36000000000001</v>
      </c>
      <c r="M408" s="16">
        <f t="shared" si="30"/>
        <v>4.6712802768166091E-2</v>
      </c>
      <c r="N408" s="18">
        <f t="shared" si="31"/>
        <v>9.2592592592592587E-3</v>
      </c>
      <c r="O408" s="8">
        <f t="shared" si="32"/>
        <v>704.47</v>
      </c>
      <c r="P408" s="14">
        <f t="shared" si="33"/>
        <v>-552.11</v>
      </c>
      <c r="Q408" s="16">
        <f t="shared" si="34"/>
        <v>-0.78372393430522236</v>
      </c>
    </row>
    <row r="409" spans="1:17" x14ac:dyDescent="0.2">
      <c r="A409" s="2">
        <v>45691</v>
      </c>
      <c r="B409" s="3" t="s">
        <v>745</v>
      </c>
      <c r="C409" s="3" t="s">
        <v>71</v>
      </c>
      <c r="D409" s="3" t="s">
        <v>37</v>
      </c>
      <c r="E409" s="3" t="s">
        <v>20</v>
      </c>
      <c r="F409" s="3" t="s">
        <v>16</v>
      </c>
      <c r="G409" s="3" t="s">
        <v>21</v>
      </c>
      <c r="H409" s="3">
        <v>2436</v>
      </c>
      <c r="I409" s="3">
        <v>68</v>
      </c>
      <c r="J409" s="3">
        <v>0</v>
      </c>
      <c r="K409" s="12">
        <v>268.22000000000003</v>
      </c>
      <c r="L409" s="9">
        <v>0</v>
      </c>
      <c r="M409" s="16">
        <f t="shared" si="30"/>
        <v>2.7914614121510674E-2</v>
      </c>
      <c r="N409" s="18">
        <f t="shared" si="31"/>
        <v>0</v>
      </c>
      <c r="O409" s="8">
        <f t="shared" si="32"/>
        <v>0</v>
      </c>
      <c r="P409" s="14">
        <f t="shared" si="33"/>
        <v>-268.22000000000003</v>
      </c>
      <c r="Q409" s="16">
        <f t="shared" si="34"/>
        <v>-1</v>
      </c>
    </row>
    <row r="410" spans="1:17" x14ac:dyDescent="0.2">
      <c r="A410" s="2">
        <v>45691</v>
      </c>
      <c r="B410" s="3" t="s">
        <v>518</v>
      </c>
      <c r="C410" s="3" t="s">
        <v>19</v>
      </c>
      <c r="D410" s="3" t="s">
        <v>14</v>
      </c>
      <c r="E410" s="3" t="s">
        <v>20</v>
      </c>
      <c r="F410" s="3" t="s">
        <v>34</v>
      </c>
      <c r="G410" s="3" t="s">
        <v>17</v>
      </c>
      <c r="H410" s="3">
        <v>7517</v>
      </c>
      <c r="I410" s="3">
        <v>338</v>
      </c>
      <c r="J410" s="3">
        <v>12</v>
      </c>
      <c r="K410" s="12">
        <v>727.86</v>
      </c>
      <c r="L410" s="9">
        <v>759.16</v>
      </c>
      <c r="M410" s="16">
        <f t="shared" si="30"/>
        <v>4.4964746574431287E-2</v>
      </c>
      <c r="N410" s="18">
        <f t="shared" si="31"/>
        <v>3.5502958579881658E-2</v>
      </c>
      <c r="O410" s="8">
        <f t="shared" si="32"/>
        <v>60.655000000000001</v>
      </c>
      <c r="P410" s="14">
        <f t="shared" si="33"/>
        <v>31.299999999999955</v>
      </c>
      <c r="Q410" s="16">
        <f t="shared" si="34"/>
        <v>4.3002775258978311E-2</v>
      </c>
    </row>
    <row r="411" spans="1:17" x14ac:dyDescent="0.2">
      <c r="A411" s="2">
        <v>45691</v>
      </c>
      <c r="B411" s="3" t="s">
        <v>746</v>
      </c>
      <c r="C411" s="3" t="s">
        <v>97</v>
      </c>
      <c r="D411" s="3" t="s">
        <v>46</v>
      </c>
      <c r="E411" s="3" t="s">
        <v>31</v>
      </c>
      <c r="F411" s="3" t="s">
        <v>16</v>
      </c>
      <c r="G411" s="3" t="s">
        <v>25</v>
      </c>
      <c r="H411" s="3">
        <v>16777</v>
      </c>
      <c r="I411" s="3">
        <v>666</v>
      </c>
      <c r="J411" s="3">
        <v>21</v>
      </c>
      <c r="K411" s="12">
        <v>896.44</v>
      </c>
      <c r="L411" s="9">
        <v>1797.33</v>
      </c>
      <c r="M411" s="16">
        <f t="shared" si="30"/>
        <v>3.9697204506169162E-2</v>
      </c>
      <c r="N411" s="18">
        <f t="shared" si="31"/>
        <v>3.1531531531531529E-2</v>
      </c>
      <c r="O411" s="8">
        <f t="shared" si="32"/>
        <v>42.687619047619052</v>
      </c>
      <c r="P411" s="14">
        <f t="shared" si="33"/>
        <v>900.88999999999987</v>
      </c>
      <c r="Q411" s="16">
        <f t="shared" si="34"/>
        <v>1.0049640801392172</v>
      </c>
    </row>
    <row r="412" spans="1:17" x14ac:dyDescent="0.2">
      <c r="A412" s="2">
        <v>45691</v>
      </c>
      <c r="B412" s="3" t="s">
        <v>747</v>
      </c>
      <c r="C412" s="3" t="s">
        <v>49</v>
      </c>
      <c r="D412" s="3" t="s">
        <v>46</v>
      </c>
      <c r="E412" s="3" t="s">
        <v>20</v>
      </c>
      <c r="F412" s="3" t="s">
        <v>29</v>
      </c>
      <c r="G412" s="3" t="s">
        <v>17</v>
      </c>
      <c r="H412" s="3">
        <v>10346</v>
      </c>
      <c r="I412" s="3">
        <v>299</v>
      </c>
      <c r="J412" s="3">
        <v>6</v>
      </c>
      <c r="K412" s="12">
        <v>335.78</v>
      </c>
      <c r="L412" s="9">
        <v>452.92</v>
      </c>
      <c r="M412" s="16">
        <f t="shared" si="30"/>
        <v>2.8900057993427413E-2</v>
      </c>
      <c r="N412" s="18">
        <f t="shared" si="31"/>
        <v>2.0066889632107024E-2</v>
      </c>
      <c r="O412" s="8">
        <f t="shared" si="32"/>
        <v>55.963333333333331</v>
      </c>
      <c r="P412" s="14">
        <f t="shared" si="33"/>
        <v>117.14000000000004</v>
      </c>
      <c r="Q412" s="16">
        <f t="shared" si="34"/>
        <v>0.34885937220799351</v>
      </c>
    </row>
    <row r="413" spans="1:17" x14ac:dyDescent="0.2">
      <c r="A413" s="2">
        <v>45691</v>
      </c>
      <c r="B413" s="3" t="s">
        <v>107</v>
      </c>
      <c r="C413" s="3" t="s">
        <v>58</v>
      </c>
      <c r="D413" s="3" t="s">
        <v>37</v>
      </c>
      <c r="E413" s="3" t="s">
        <v>20</v>
      </c>
      <c r="F413" s="3" t="s">
        <v>16</v>
      </c>
      <c r="G413" s="3" t="s">
        <v>21</v>
      </c>
      <c r="H413" s="3">
        <v>2458</v>
      </c>
      <c r="I413" s="3">
        <v>52</v>
      </c>
      <c r="J413" s="3">
        <v>1</v>
      </c>
      <c r="K413" s="12">
        <v>313.14</v>
      </c>
      <c r="L413" s="9">
        <v>55.11</v>
      </c>
      <c r="M413" s="16">
        <f t="shared" si="30"/>
        <v>2.115541090317331E-2</v>
      </c>
      <c r="N413" s="18">
        <f t="shared" si="31"/>
        <v>1.9230769230769232E-2</v>
      </c>
      <c r="O413" s="8">
        <f t="shared" si="32"/>
        <v>313.14</v>
      </c>
      <c r="P413" s="14">
        <f t="shared" si="33"/>
        <v>-258.02999999999997</v>
      </c>
      <c r="Q413" s="16">
        <f t="shared" si="34"/>
        <v>-0.82400843073385699</v>
      </c>
    </row>
    <row r="414" spans="1:17" x14ac:dyDescent="0.2">
      <c r="A414" s="2">
        <v>45691</v>
      </c>
      <c r="B414" s="3" t="s">
        <v>748</v>
      </c>
      <c r="C414" s="3" t="s">
        <v>36</v>
      </c>
      <c r="D414" s="3" t="s">
        <v>37</v>
      </c>
      <c r="E414" s="3" t="s">
        <v>20</v>
      </c>
      <c r="F414" s="3" t="s">
        <v>47</v>
      </c>
      <c r="G414" s="3" t="s">
        <v>25</v>
      </c>
      <c r="H414" s="3">
        <v>6233</v>
      </c>
      <c r="I414" s="3">
        <v>226</v>
      </c>
      <c r="J414" s="3">
        <v>5</v>
      </c>
      <c r="K414" s="12">
        <v>1377.75</v>
      </c>
      <c r="L414" s="9">
        <v>993.6</v>
      </c>
      <c r="M414" s="16">
        <f t="shared" si="30"/>
        <v>3.6258623455799777E-2</v>
      </c>
      <c r="N414" s="18">
        <f t="shared" si="31"/>
        <v>2.2123893805309734E-2</v>
      </c>
      <c r="O414" s="8">
        <f t="shared" si="32"/>
        <v>275.55</v>
      </c>
      <c r="P414" s="14">
        <f t="shared" si="33"/>
        <v>-384.15</v>
      </c>
      <c r="Q414" s="16">
        <f t="shared" si="34"/>
        <v>-0.27882416984213387</v>
      </c>
    </row>
    <row r="415" spans="1:17" x14ac:dyDescent="0.2">
      <c r="A415" s="2">
        <v>45692</v>
      </c>
      <c r="B415" s="3" t="s">
        <v>749</v>
      </c>
      <c r="C415" s="3" t="s">
        <v>156</v>
      </c>
      <c r="D415" s="3" t="s">
        <v>46</v>
      </c>
      <c r="E415" s="3" t="s">
        <v>31</v>
      </c>
      <c r="F415" s="3" t="s">
        <v>34</v>
      </c>
      <c r="G415" s="3" t="s">
        <v>17</v>
      </c>
      <c r="H415" s="3">
        <v>9918</v>
      </c>
      <c r="I415" s="3">
        <v>456</v>
      </c>
      <c r="J415" s="3">
        <v>21</v>
      </c>
      <c r="K415" s="12">
        <v>480.24</v>
      </c>
      <c r="L415" s="9">
        <v>1113.6400000000001</v>
      </c>
      <c r="M415" s="16">
        <f t="shared" si="30"/>
        <v>4.5977011494252873E-2</v>
      </c>
      <c r="N415" s="18">
        <f t="shared" si="31"/>
        <v>4.6052631578947366E-2</v>
      </c>
      <c r="O415" s="8">
        <f t="shared" si="32"/>
        <v>22.868571428571428</v>
      </c>
      <c r="P415" s="14">
        <f t="shared" si="33"/>
        <v>633.40000000000009</v>
      </c>
      <c r="Q415" s="16">
        <f t="shared" si="34"/>
        <v>1.3189238713976348</v>
      </c>
    </row>
    <row r="416" spans="1:17" x14ac:dyDescent="0.2">
      <c r="A416" s="2">
        <v>45692</v>
      </c>
      <c r="B416" s="3" t="s">
        <v>388</v>
      </c>
      <c r="C416" s="3" t="s">
        <v>97</v>
      </c>
      <c r="D416" s="3" t="s">
        <v>46</v>
      </c>
      <c r="E416" s="3" t="s">
        <v>20</v>
      </c>
      <c r="F416" s="3" t="s">
        <v>29</v>
      </c>
      <c r="G416" s="3" t="s">
        <v>17</v>
      </c>
      <c r="H416" s="3">
        <v>15122</v>
      </c>
      <c r="I416" s="3">
        <v>510</v>
      </c>
      <c r="J416" s="3">
        <v>7</v>
      </c>
      <c r="K416" s="12">
        <v>861.32</v>
      </c>
      <c r="L416" s="9">
        <v>531.91</v>
      </c>
      <c r="M416" s="16">
        <f t="shared" si="30"/>
        <v>3.3725697659039808E-2</v>
      </c>
      <c r="N416" s="18">
        <f t="shared" si="31"/>
        <v>1.3725490196078431E-2</v>
      </c>
      <c r="O416" s="8">
        <f t="shared" si="32"/>
        <v>123.0457142857143</v>
      </c>
      <c r="P416" s="14">
        <f t="shared" si="33"/>
        <v>-329.41000000000008</v>
      </c>
      <c r="Q416" s="16">
        <f t="shared" si="34"/>
        <v>-0.38244787071007297</v>
      </c>
    </row>
    <row r="417" spans="1:17" x14ac:dyDescent="0.2">
      <c r="A417" s="2">
        <v>45692</v>
      </c>
      <c r="B417" s="3" t="s">
        <v>750</v>
      </c>
      <c r="C417" s="3" t="s">
        <v>52</v>
      </c>
      <c r="D417" s="3" t="s">
        <v>24</v>
      </c>
      <c r="E417" s="3" t="s">
        <v>20</v>
      </c>
      <c r="F417" s="3" t="s">
        <v>34</v>
      </c>
      <c r="G417" s="3" t="s">
        <v>17</v>
      </c>
      <c r="H417" s="3">
        <v>4025</v>
      </c>
      <c r="I417" s="3">
        <v>456</v>
      </c>
      <c r="J417" s="3">
        <v>50</v>
      </c>
      <c r="K417" s="12">
        <v>102.5</v>
      </c>
      <c r="L417" s="9">
        <v>4399.92</v>
      </c>
      <c r="M417" s="16">
        <f t="shared" si="30"/>
        <v>0.11329192546583851</v>
      </c>
      <c r="N417" s="18">
        <f t="shared" si="31"/>
        <v>0.10964912280701754</v>
      </c>
      <c r="O417" s="8">
        <f t="shared" si="32"/>
        <v>2.0499999999999998</v>
      </c>
      <c r="P417" s="14">
        <f t="shared" si="33"/>
        <v>4297.42</v>
      </c>
      <c r="Q417" s="16">
        <f t="shared" si="34"/>
        <v>41.926048780487804</v>
      </c>
    </row>
    <row r="418" spans="1:17" x14ac:dyDescent="0.2">
      <c r="A418" s="2">
        <v>45692</v>
      </c>
      <c r="B418" s="3" t="s">
        <v>751</v>
      </c>
      <c r="C418" s="3" t="s">
        <v>13</v>
      </c>
      <c r="D418" s="3" t="s">
        <v>14</v>
      </c>
      <c r="E418" s="3" t="s">
        <v>31</v>
      </c>
      <c r="F418" s="3" t="s">
        <v>47</v>
      </c>
      <c r="G418" s="3" t="s">
        <v>21</v>
      </c>
      <c r="H418" s="3">
        <v>5533</v>
      </c>
      <c r="I418" s="3">
        <v>301</v>
      </c>
      <c r="J418" s="3">
        <v>21</v>
      </c>
      <c r="K418" s="12">
        <v>749.03</v>
      </c>
      <c r="L418" s="9">
        <v>2476.98</v>
      </c>
      <c r="M418" s="16">
        <f t="shared" si="30"/>
        <v>5.4400867522139885E-2</v>
      </c>
      <c r="N418" s="18">
        <f t="shared" si="31"/>
        <v>6.9767441860465115E-2</v>
      </c>
      <c r="O418" s="8">
        <f t="shared" si="32"/>
        <v>35.668095238095233</v>
      </c>
      <c r="P418" s="14">
        <f t="shared" si="33"/>
        <v>1727.95</v>
      </c>
      <c r="Q418" s="16">
        <f t="shared" si="34"/>
        <v>2.3069169459167189</v>
      </c>
    </row>
    <row r="419" spans="1:17" x14ac:dyDescent="0.2">
      <c r="A419" s="2">
        <v>45692</v>
      </c>
      <c r="B419" s="3" t="s">
        <v>752</v>
      </c>
      <c r="C419" s="3" t="s">
        <v>97</v>
      </c>
      <c r="D419" s="3" t="s">
        <v>46</v>
      </c>
      <c r="E419" s="3" t="s">
        <v>20</v>
      </c>
      <c r="F419" s="3" t="s">
        <v>50</v>
      </c>
      <c r="G419" s="3" t="s">
        <v>17</v>
      </c>
      <c r="H419" s="3">
        <v>10835</v>
      </c>
      <c r="I419" s="3">
        <v>287</v>
      </c>
      <c r="J419" s="3">
        <v>4</v>
      </c>
      <c r="K419" s="12">
        <v>571.29999999999995</v>
      </c>
      <c r="L419" s="9">
        <v>382.4</v>
      </c>
      <c r="M419" s="16">
        <f t="shared" si="30"/>
        <v>2.6488232579603137E-2</v>
      </c>
      <c r="N419" s="18">
        <f t="shared" si="31"/>
        <v>1.3937282229965157E-2</v>
      </c>
      <c r="O419" s="8">
        <f t="shared" si="32"/>
        <v>142.82499999999999</v>
      </c>
      <c r="P419" s="14">
        <f t="shared" si="33"/>
        <v>-188.89999999999998</v>
      </c>
      <c r="Q419" s="16">
        <f t="shared" si="34"/>
        <v>-0.33064939611412564</v>
      </c>
    </row>
    <row r="420" spans="1:17" x14ac:dyDescent="0.2">
      <c r="A420" s="2">
        <v>45692</v>
      </c>
      <c r="B420" s="3" t="s">
        <v>291</v>
      </c>
      <c r="C420" s="3" t="s">
        <v>71</v>
      </c>
      <c r="D420" s="3" t="s">
        <v>37</v>
      </c>
      <c r="E420" s="3" t="s">
        <v>31</v>
      </c>
      <c r="F420" s="3" t="s">
        <v>50</v>
      </c>
      <c r="G420" s="3" t="s">
        <v>17</v>
      </c>
      <c r="H420" s="3">
        <v>2356</v>
      </c>
      <c r="I420" s="3">
        <v>152</v>
      </c>
      <c r="J420" s="3">
        <v>2</v>
      </c>
      <c r="K420" s="12">
        <v>1018.43</v>
      </c>
      <c r="L420" s="9">
        <v>372.63</v>
      </c>
      <c r="M420" s="16">
        <f t="shared" si="30"/>
        <v>6.4516129032258063E-2</v>
      </c>
      <c r="N420" s="18">
        <f t="shared" si="31"/>
        <v>1.3157894736842105E-2</v>
      </c>
      <c r="O420" s="8">
        <f t="shared" si="32"/>
        <v>509.21499999999997</v>
      </c>
      <c r="P420" s="14">
        <f t="shared" si="33"/>
        <v>-645.79999999999995</v>
      </c>
      <c r="Q420" s="16">
        <f t="shared" si="34"/>
        <v>-0.63411329202792532</v>
      </c>
    </row>
    <row r="421" spans="1:17" x14ac:dyDescent="0.2">
      <c r="A421" s="2">
        <v>45692</v>
      </c>
      <c r="B421" s="3" t="s">
        <v>531</v>
      </c>
      <c r="C421" s="3" t="s">
        <v>45</v>
      </c>
      <c r="D421" s="3" t="s">
        <v>46</v>
      </c>
      <c r="E421" s="3" t="s">
        <v>20</v>
      </c>
      <c r="F421" s="3" t="s">
        <v>50</v>
      </c>
      <c r="G421" s="3" t="s">
        <v>17</v>
      </c>
      <c r="H421" s="3">
        <v>8007</v>
      </c>
      <c r="I421" s="3">
        <v>321</v>
      </c>
      <c r="J421" s="3">
        <v>10</v>
      </c>
      <c r="K421" s="12">
        <v>615.85</v>
      </c>
      <c r="L421" s="9">
        <v>840.69</v>
      </c>
      <c r="M421" s="16">
        <f t="shared" si="30"/>
        <v>4.0089921318846013E-2</v>
      </c>
      <c r="N421" s="18">
        <f t="shared" si="31"/>
        <v>3.1152647975077882E-2</v>
      </c>
      <c r="O421" s="8">
        <f t="shared" si="32"/>
        <v>61.585000000000001</v>
      </c>
      <c r="P421" s="14">
        <f t="shared" si="33"/>
        <v>224.84000000000003</v>
      </c>
      <c r="Q421" s="16">
        <f t="shared" si="34"/>
        <v>0.36508890151822687</v>
      </c>
    </row>
    <row r="422" spans="1:17" x14ac:dyDescent="0.2">
      <c r="A422" s="2">
        <v>45692</v>
      </c>
      <c r="B422" s="3" t="s">
        <v>753</v>
      </c>
      <c r="C422" s="3" t="s">
        <v>74</v>
      </c>
      <c r="D422" s="3" t="s">
        <v>28</v>
      </c>
      <c r="E422" s="3" t="s">
        <v>31</v>
      </c>
      <c r="F422" s="3" t="s">
        <v>47</v>
      </c>
      <c r="G422" s="3" t="s">
        <v>17</v>
      </c>
      <c r="H422" s="3">
        <v>25635</v>
      </c>
      <c r="I422" s="3">
        <v>532</v>
      </c>
      <c r="J422" s="3">
        <v>8</v>
      </c>
      <c r="K422" s="12">
        <v>596.02</v>
      </c>
      <c r="L422" s="9">
        <v>349.45</v>
      </c>
      <c r="M422" s="16">
        <f t="shared" si="30"/>
        <v>2.0752876926077628E-2</v>
      </c>
      <c r="N422" s="18">
        <f t="shared" si="31"/>
        <v>1.5037593984962405E-2</v>
      </c>
      <c r="O422" s="8">
        <f t="shared" si="32"/>
        <v>74.502499999999998</v>
      </c>
      <c r="P422" s="14">
        <f t="shared" si="33"/>
        <v>-246.57</v>
      </c>
      <c r="Q422" s="16">
        <f t="shared" si="34"/>
        <v>-0.41369417133653236</v>
      </c>
    </row>
    <row r="423" spans="1:17" x14ac:dyDescent="0.2">
      <c r="A423" s="2">
        <v>45692</v>
      </c>
      <c r="B423" s="3" t="s">
        <v>158</v>
      </c>
      <c r="C423" s="3" t="s">
        <v>23</v>
      </c>
      <c r="D423" s="3" t="s">
        <v>24</v>
      </c>
      <c r="E423" s="3" t="s">
        <v>20</v>
      </c>
      <c r="F423" s="3" t="s">
        <v>47</v>
      </c>
      <c r="G423" s="3" t="s">
        <v>25</v>
      </c>
      <c r="H423" s="3">
        <v>1076</v>
      </c>
      <c r="I423" s="3">
        <v>94</v>
      </c>
      <c r="J423" s="3">
        <v>14</v>
      </c>
      <c r="K423" s="12">
        <v>28.85</v>
      </c>
      <c r="L423" s="9">
        <v>1992.22</v>
      </c>
      <c r="M423" s="16">
        <f t="shared" si="30"/>
        <v>8.7360594795539037E-2</v>
      </c>
      <c r="N423" s="18">
        <f t="shared" si="31"/>
        <v>0.14893617021276595</v>
      </c>
      <c r="O423" s="8">
        <f t="shared" si="32"/>
        <v>2.0607142857142859</v>
      </c>
      <c r="P423" s="14">
        <f t="shared" si="33"/>
        <v>1963.3700000000001</v>
      </c>
      <c r="Q423" s="16">
        <f t="shared" si="34"/>
        <v>68.05441941074524</v>
      </c>
    </row>
    <row r="424" spans="1:17" x14ac:dyDescent="0.2">
      <c r="A424" s="2">
        <v>45692</v>
      </c>
      <c r="B424" s="3" t="s">
        <v>68</v>
      </c>
      <c r="C424" s="3" t="s">
        <v>71</v>
      </c>
      <c r="D424" s="3" t="s">
        <v>37</v>
      </c>
      <c r="E424" s="3" t="s">
        <v>20</v>
      </c>
      <c r="F424" s="3" t="s">
        <v>16</v>
      </c>
      <c r="G424" s="3" t="s">
        <v>17</v>
      </c>
      <c r="H424" s="3">
        <v>3312</v>
      </c>
      <c r="I424" s="3">
        <v>165</v>
      </c>
      <c r="J424" s="3">
        <v>2</v>
      </c>
      <c r="K424" s="12">
        <v>700.27</v>
      </c>
      <c r="L424" s="9">
        <v>235.85</v>
      </c>
      <c r="M424" s="16">
        <f t="shared" si="30"/>
        <v>4.9818840579710144E-2</v>
      </c>
      <c r="N424" s="18">
        <f t="shared" si="31"/>
        <v>1.2121212121212121E-2</v>
      </c>
      <c r="O424" s="8">
        <f t="shared" si="32"/>
        <v>350.13499999999999</v>
      </c>
      <c r="P424" s="14">
        <f t="shared" si="33"/>
        <v>-464.41999999999996</v>
      </c>
      <c r="Q424" s="16">
        <f t="shared" si="34"/>
        <v>-0.66320133662730085</v>
      </c>
    </row>
    <row r="425" spans="1:17" x14ac:dyDescent="0.2">
      <c r="A425" s="2">
        <v>45692</v>
      </c>
      <c r="B425" s="3" t="s">
        <v>466</v>
      </c>
      <c r="C425" s="3" t="s">
        <v>41</v>
      </c>
      <c r="D425" s="3" t="s">
        <v>24</v>
      </c>
      <c r="E425" s="3" t="s">
        <v>31</v>
      </c>
      <c r="F425" s="3" t="s">
        <v>50</v>
      </c>
      <c r="G425" s="3" t="s">
        <v>17</v>
      </c>
      <c r="H425" s="3">
        <v>1920</v>
      </c>
      <c r="I425" s="3">
        <v>348</v>
      </c>
      <c r="J425" s="3">
        <v>65</v>
      </c>
      <c r="K425" s="12">
        <v>94.17</v>
      </c>
      <c r="L425" s="9">
        <v>8496.2999999999993</v>
      </c>
      <c r="M425" s="16">
        <f t="shared" si="30"/>
        <v>0.18124999999999999</v>
      </c>
      <c r="N425" s="18">
        <f t="shared" si="31"/>
        <v>0.18678160919540229</v>
      </c>
      <c r="O425" s="8">
        <f t="shared" si="32"/>
        <v>1.4487692307692308</v>
      </c>
      <c r="P425" s="14">
        <f t="shared" si="33"/>
        <v>8402.1299999999992</v>
      </c>
      <c r="Q425" s="16">
        <f t="shared" si="34"/>
        <v>89.223000955718376</v>
      </c>
    </row>
    <row r="426" spans="1:17" x14ac:dyDescent="0.2">
      <c r="A426" s="2">
        <v>45692</v>
      </c>
      <c r="B426" s="3" t="s">
        <v>239</v>
      </c>
      <c r="C426" s="3" t="s">
        <v>52</v>
      </c>
      <c r="D426" s="3" t="s">
        <v>24</v>
      </c>
      <c r="E426" s="3" t="s">
        <v>31</v>
      </c>
      <c r="F426" s="3" t="s">
        <v>47</v>
      </c>
      <c r="G426" s="3" t="s">
        <v>17</v>
      </c>
      <c r="H426" s="3">
        <v>1180</v>
      </c>
      <c r="I426" s="3">
        <v>207</v>
      </c>
      <c r="J426" s="3">
        <v>27</v>
      </c>
      <c r="K426" s="12">
        <v>96.96</v>
      </c>
      <c r="L426" s="9">
        <v>2577.1</v>
      </c>
      <c r="M426" s="16">
        <f t="shared" si="30"/>
        <v>0.17542372881355933</v>
      </c>
      <c r="N426" s="18">
        <f t="shared" si="31"/>
        <v>0.13043478260869565</v>
      </c>
      <c r="O426" s="8">
        <f t="shared" si="32"/>
        <v>3.5911111111111107</v>
      </c>
      <c r="P426" s="14">
        <f t="shared" si="33"/>
        <v>2480.14</v>
      </c>
      <c r="Q426" s="16">
        <f t="shared" si="34"/>
        <v>25.579001650165019</v>
      </c>
    </row>
    <row r="427" spans="1:17" x14ac:dyDescent="0.2">
      <c r="A427" s="2">
        <v>45693</v>
      </c>
      <c r="B427" s="3" t="s">
        <v>181</v>
      </c>
      <c r="C427" s="3" t="s">
        <v>45</v>
      </c>
      <c r="D427" s="3" t="s">
        <v>46</v>
      </c>
      <c r="E427" s="3" t="s">
        <v>31</v>
      </c>
      <c r="F427" s="3" t="s">
        <v>50</v>
      </c>
      <c r="G427" s="3" t="s">
        <v>17</v>
      </c>
      <c r="H427" s="3">
        <v>14439</v>
      </c>
      <c r="I427" s="3">
        <v>514</v>
      </c>
      <c r="J427" s="3">
        <v>14</v>
      </c>
      <c r="K427" s="12">
        <v>807.47</v>
      </c>
      <c r="L427" s="9">
        <v>1435.61</v>
      </c>
      <c r="M427" s="16">
        <f t="shared" si="30"/>
        <v>3.5598033104785647E-2</v>
      </c>
      <c r="N427" s="18">
        <f t="shared" si="31"/>
        <v>2.7237354085603113E-2</v>
      </c>
      <c r="O427" s="8">
        <f t="shared" si="32"/>
        <v>57.676428571428573</v>
      </c>
      <c r="P427" s="14">
        <f t="shared" si="33"/>
        <v>628.13999999999987</v>
      </c>
      <c r="Q427" s="16">
        <f t="shared" si="34"/>
        <v>0.77791125366886682</v>
      </c>
    </row>
    <row r="428" spans="1:17" x14ac:dyDescent="0.2">
      <c r="A428" s="2">
        <v>45693</v>
      </c>
      <c r="B428" s="3" t="s">
        <v>754</v>
      </c>
      <c r="C428" s="3" t="s">
        <v>45</v>
      </c>
      <c r="D428" s="3" t="s">
        <v>46</v>
      </c>
      <c r="E428" s="3" t="s">
        <v>15</v>
      </c>
      <c r="F428" s="3" t="s">
        <v>34</v>
      </c>
      <c r="G428" s="3" t="s">
        <v>21</v>
      </c>
      <c r="H428" s="3">
        <v>16752</v>
      </c>
      <c r="I428" s="3">
        <v>386</v>
      </c>
      <c r="J428" s="3">
        <v>7</v>
      </c>
      <c r="K428" s="12">
        <v>464.85</v>
      </c>
      <c r="L428" s="9">
        <v>619.59</v>
      </c>
      <c r="M428" s="16">
        <f t="shared" si="30"/>
        <v>2.3042024832855779E-2</v>
      </c>
      <c r="N428" s="18">
        <f t="shared" si="31"/>
        <v>1.8134715025906734E-2</v>
      </c>
      <c r="O428" s="8">
        <f t="shared" si="32"/>
        <v>66.407142857142858</v>
      </c>
      <c r="P428" s="14">
        <f t="shared" si="33"/>
        <v>154.74</v>
      </c>
      <c r="Q428" s="16">
        <f t="shared" si="34"/>
        <v>0.33288157470151664</v>
      </c>
    </row>
    <row r="429" spans="1:17" x14ac:dyDescent="0.2">
      <c r="A429" s="2">
        <v>45693</v>
      </c>
      <c r="B429" s="3" t="s">
        <v>465</v>
      </c>
      <c r="C429" s="3" t="s">
        <v>71</v>
      </c>
      <c r="D429" s="3" t="s">
        <v>37</v>
      </c>
      <c r="E429" s="3" t="s">
        <v>31</v>
      </c>
      <c r="F429" s="3" t="s">
        <v>50</v>
      </c>
      <c r="G429" s="3" t="s">
        <v>17</v>
      </c>
      <c r="H429" s="3">
        <v>3334</v>
      </c>
      <c r="I429" s="3">
        <v>175</v>
      </c>
      <c r="J429" s="3">
        <v>4</v>
      </c>
      <c r="K429" s="12">
        <v>789.83</v>
      </c>
      <c r="L429" s="9">
        <v>526.63</v>
      </c>
      <c r="M429" s="16">
        <f t="shared" si="30"/>
        <v>5.2489502099580081E-2</v>
      </c>
      <c r="N429" s="18">
        <f t="shared" si="31"/>
        <v>2.2857142857142857E-2</v>
      </c>
      <c r="O429" s="8">
        <f t="shared" si="32"/>
        <v>197.45750000000001</v>
      </c>
      <c r="P429" s="14">
        <f t="shared" si="33"/>
        <v>-263.20000000000005</v>
      </c>
      <c r="Q429" s="16">
        <f t="shared" si="34"/>
        <v>-0.33323626603193096</v>
      </c>
    </row>
    <row r="430" spans="1:17" x14ac:dyDescent="0.2">
      <c r="A430" s="2">
        <v>45693</v>
      </c>
      <c r="B430" s="3" t="s">
        <v>755</v>
      </c>
      <c r="C430" s="3" t="s">
        <v>120</v>
      </c>
      <c r="D430" s="3" t="s">
        <v>14</v>
      </c>
      <c r="E430" s="3" t="s">
        <v>20</v>
      </c>
      <c r="F430" s="3" t="s">
        <v>29</v>
      </c>
      <c r="G430" s="3" t="s">
        <v>17</v>
      </c>
      <c r="H430" s="3">
        <v>10298</v>
      </c>
      <c r="I430" s="3">
        <v>590</v>
      </c>
      <c r="J430" s="3">
        <v>14</v>
      </c>
      <c r="K430" s="12">
        <v>967.54</v>
      </c>
      <c r="L430" s="9">
        <v>1642.95</v>
      </c>
      <c r="M430" s="16">
        <f t="shared" si="30"/>
        <v>5.7292678189939793E-2</v>
      </c>
      <c r="N430" s="18">
        <f t="shared" si="31"/>
        <v>2.3728813559322035E-2</v>
      </c>
      <c r="O430" s="8">
        <f t="shared" si="32"/>
        <v>69.11</v>
      </c>
      <c r="P430" s="14">
        <f t="shared" si="33"/>
        <v>675.41000000000008</v>
      </c>
      <c r="Q430" s="16">
        <f t="shared" si="34"/>
        <v>0.69806933046695752</v>
      </c>
    </row>
    <row r="431" spans="1:17" x14ac:dyDescent="0.2">
      <c r="A431" s="2">
        <v>45693</v>
      </c>
      <c r="B431" s="3" t="s">
        <v>756</v>
      </c>
      <c r="C431" s="3" t="s">
        <v>74</v>
      </c>
      <c r="D431" s="3" t="s">
        <v>28</v>
      </c>
      <c r="E431" s="3" t="s">
        <v>31</v>
      </c>
      <c r="F431" s="3" t="s">
        <v>29</v>
      </c>
      <c r="G431" s="3" t="s">
        <v>17</v>
      </c>
      <c r="H431" s="3">
        <v>27199</v>
      </c>
      <c r="I431" s="3">
        <v>262</v>
      </c>
      <c r="J431" s="3">
        <v>4</v>
      </c>
      <c r="K431" s="12">
        <v>309.89999999999998</v>
      </c>
      <c r="L431" s="9">
        <v>238.01</v>
      </c>
      <c r="M431" s="16">
        <f t="shared" si="30"/>
        <v>9.6327070848192947E-3</v>
      </c>
      <c r="N431" s="18">
        <f t="shared" si="31"/>
        <v>1.5267175572519083E-2</v>
      </c>
      <c r="O431" s="8">
        <f t="shared" si="32"/>
        <v>77.474999999999994</v>
      </c>
      <c r="P431" s="14">
        <f t="shared" si="33"/>
        <v>-71.889999999999986</v>
      </c>
      <c r="Q431" s="16">
        <f t="shared" si="34"/>
        <v>-0.23197805743788316</v>
      </c>
    </row>
    <row r="432" spans="1:17" x14ac:dyDescent="0.2">
      <c r="A432" s="2">
        <v>45693</v>
      </c>
      <c r="B432" s="3" t="s">
        <v>190</v>
      </c>
      <c r="C432" s="3" t="s">
        <v>52</v>
      </c>
      <c r="D432" s="3" t="s">
        <v>24</v>
      </c>
      <c r="E432" s="3" t="s">
        <v>20</v>
      </c>
      <c r="F432" s="3" t="s">
        <v>29</v>
      </c>
      <c r="G432" s="3" t="s">
        <v>21</v>
      </c>
      <c r="H432" s="3">
        <v>2612</v>
      </c>
      <c r="I432" s="3">
        <v>302</v>
      </c>
      <c r="J432" s="3">
        <v>43</v>
      </c>
      <c r="K432" s="12">
        <v>96.42</v>
      </c>
      <c r="L432" s="9">
        <v>5657.07</v>
      </c>
      <c r="M432" s="16">
        <f t="shared" si="30"/>
        <v>0.11562021439509954</v>
      </c>
      <c r="N432" s="18">
        <f t="shared" si="31"/>
        <v>0.14238410596026491</v>
      </c>
      <c r="O432" s="8">
        <f t="shared" si="32"/>
        <v>2.2423255813953489</v>
      </c>
      <c r="P432" s="14">
        <f t="shared" si="33"/>
        <v>5560.65</v>
      </c>
      <c r="Q432" s="16">
        <f t="shared" si="34"/>
        <v>57.671126322339759</v>
      </c>
    </row>
    <row r="433" spans="1:17" x14ac:dyDescent="0.2">
      <c r="A433" s="2">
        <v>45693</v>
      </c>
      <c r="B433" s="3" t="s">
        <v>546</v>
      </c>
      <c r="C433" s="3" t="s">
        <v>19</v>
      </c>
      <c r="D433" s="3" t="s">
        <v>14</v>
      </c>
      <c r="E433" s="3" t="s">
        <v>20</v>
      </c>
      <c r="F433" s="3" t="s">
        <v>47</v>
      </c>
      <c r="G433" s="3" t="s">
        <v>17</v>
      </c>
      <c r="H433" s="3">
        <v>8275</v>
      </c>
      <c r="I433" s="3">
        <v>446</v>
      </c>
      <c r="J433" s="3">
        <v>15</v>
      </c>
      <c r="K433" s="12">
        <v>950.06</v>
      </c>
      <c r="L433" s="9">
        <v>1043.76</v>
      </c>
      <c r="M433" s="16">
        <f t="shared" si="30"/>
        <v>5.3897280966767373E-2</v>
      </c>
      <c r="N433" s="18">
        <f t="shared" si="31"/>
        <v>3.3632286995515695E-2</v>
      </c>
      <c r="O433" s="8">
        <f t="shared" si="32"/>
        <v>63.337333333333326</v>
      </c>
      <c r="P433" s="14">
        <f t="shared" si="33"/>
        <v>93.700000000000045</v>
      </c>
      <c r="Q433" s="16">
        <f t="shared" si="34"/>
        <v>9.8625349977896182E-2</v>
      </c>
    </row>
    <row r="434" spans="1:17" x14ac:dyDescent="0.2">
      <c r="A434" s="2">
        <v>45693</v>
      </c>
      <c r="B434" s="3" t="s">
        <v>135</v>
      </c>
      <c r="C434" s="3" t="s">
        <v>74</v>
      </c>
      <c r="D434" s="3" t="s">
        <v>28</v>
      </c>
      <c r="E434" s="3" t="s">
        <v>20</v>
      </c>
      <c r="F434" s="3" t="s">
        <v>29</v>
      </c>
      <c r="G434" s="3" t="s">
        <v>17</v>
      </c>
      <c r="H434" s="3">
        <v>35022</v>
      </c>
      <c r="I434" s="3">
        <v>366</v>
      </c>
      <c r="J434" s="3">
        <v>4</v>
      </c>
      <c r="K434" s="12">
        <v>288.07</v>
      </c>
      <c r="L434" s="9">
        <v>242.34</v>
      </c>
      <c r="M434" s="16">
        <f t="shared" si="30"/>
        <v>1.0450573924961452E-2</v>
      </c>
      <c r="N434" s="18">
        <f t="shared" si="31"/>
        <v>1.092896174863388E-2</v>
      </c>
      <c r="O434" s="8">
        <f t="shared" si="32"/>
        <v>72.017499999999998</v>
      </c>
      <c r="P434" s="14">
        <f t="shared" si="33"/>
        <v>-45.72999999999999</v>
      </c>
      <c r="Q434" s="16">
        <f t="shared" si="34"/>
        <v>-0.15874613809143609</v>
      </c>
    </row>
    <row r="435" spans="1:17" x14ac:dyDescent="0.2">
      <c r="A435" s="2">
        <v>45694</v>
      </c>
      <c r="B435" s="3" t="s">
        <v>84</v>
      </c>
      <c r="C435" s="3" t="s">
        <v>23</v>
      </c>
      <c r="D435" s="3" t="s">
        <v>24</v>
      </c>
      <c r="E435" s="3" t="s">
        <v>31</v>
      </c>
      <c r="F435" s="3" t="s">
        <v>34</v>
      </c>
      <c r="G435" s="3" t="s">
        <v>17</v>
      </c>
      <c r="H435" s="3">
        <v>4700</v>
      </c>
      <c r="I435" s="3">
        <v>516</v>
      </c>
      <c r="J435" s="3">
        <v>111</v>
      </c>
      <c r="K435" s="12">
        <v>215.99</v>
      </c>
      <c r="L435" s="9">
        <v>15683.37</v>
      </c>
      <c r="M435" s="16">
        <f t="shared" si="30"/>
        <v>0.10978723404255319</v>
      </c>
      <c r="N435" s="18">
        <f t="shared" si="31"/>
        <v>0.21511627906976744</v>
      </c>
      <c r="O435" s="8">
        <f t="shared" si="32"/>
        <v>1.9458558558558559</v>
      </c>
      <c r="P435" s="14">
        <f t="shared" si="33"/>
        <v>15467.380000000001</v>
      </c>
      <c r="Q435" s="16">
        <f t="shared" si="34"/>
        <v>71.611556090559745</v>
      </c>
    </row>
    <row r="436" spans="1:17" x14ac:dyDescent="0.2">
      <c r="A436" s="2">
        <v>45694</v>
      </c>
      <c r="B436" s="3" t="s">
        <v>757</v>
      </c>
      <c r="C436" s="3" t="s">
        <v>110</v>
      </c>
      <c r="D436" s="3" t="s">
        <v>24</v>
      </c>
      <c r="E436" s="3" t="s">
        <v>20</v>
      </c>
      <c r="F436" s="3" t="s">
        <v>34</v>
      </c>
      <c r="G436" s="3" t="s">
        <v>17</v>
      </c>
      <c r="H436" s="3">
        <v>3025</v>
      </c>
      <c r="I436" s="3">
        <v>416</v>
      </c>
      <c r="J436" s="3">
        <v>42</v>
      </c>
      <c r="K436" s="12">
        <v>144.55000000000001</v>
      </c>
      <c r="L436" s="9">
        <v>3483.07</v>
      </c>
      <c r="M436" s="16">
        <f t="shared" si="30"/>
        <v>0.1375206611570248</v>
      </c>
      <c r="N436" s="18">
        <f t="shared" si="31"/>
        <v>0.10096153846153846</v>
      </c>
      <c r="O436" s="8">
        <f t="shared" si="32"/>
        <v>3.4416666666666669</v>
      </c>
      <c r="P436" s="14">
        <f t="shared" si="33"/>
        <v>3338.52</v>
      </c>
      <c r="Q436" s="16">
        <f t="shared" si="34"/>
        <v>23.095952957454166</v>
      </c>
    </row>
    <row r="437" spans="1:17" x14ac:dyDescent="0.2">
      <c r="A437" s="2">
        <v>45694</v>
      </c>
      <c r="B437" s="3" t="s">
        <v>758</v>
      </c>
      <c r="C437" s="3" t="s">
        <v>41</v>
      </c>
      <c r="D437" s="3" t="s">
        <v>24</v>
      </c>
      <c r="E437" s="3" t="s">
        <v>31</v>
      </c>
      <c r="F437" s="3" t="s">
        <v>47</v>
      </c>
      <c r="G437" s="3" t="s">
        <v>17</v>
      </c>
      <c r="H437" s="3">
        <v>2408</v>
      </c>
      <c r="I437" s="3">
        <v>343</v>
      </c>
      <c r="J437" s="3">
        <v>41</v>
      </c>
      <c r="K437" s="12">
        <v>151.34</v>
      </c>
      <c r="L437" s="9">
        <v>3970.01</v>
      </c>
      <c r="M437" s="16">
        <f t="shared" si="30"/>
        <v>0.14244186046511628</v>
      </c>
      <c r="N437" s="18">
        <f t="shared" si="31"/>
        <v>0.119533527696793</v>
      </c>
      <c r="O437" s="8">
        <f t="shared" si="32"/>
        <v>3.6912195121951221</v>
      </c>
      <c r="P437" s="14">
        <f t="shared" si="33"/>
        <v>3818.67</v>
      </c>
      <c r="Q437" s="16">
        <f t="shared" si="34"/>
        <v>25.232390643583983</v>
      </c>
    </row>
    <row r="438" spans="1:17" x14ac:dyDescent="0.2">
      <c r="A438" s="2">
        <v>45694</v>
      </c>
      <c r="B438" s="3" t="s">
        <v>759</v>
      </c>
      <c r="C438" s="3" t="s">
        <v>52</v>
      </c>
      <c r="D438" s="3" t="s">
        <v>24</v>
      </c>
      <c r="E438" s="3" t="s">
        <v>31</v>
      </c>
      <c r="F438" s="3" t="s">
        <v>47</v>
      </c>
      <c r="G438" s="3" t="s">
        <v>21</v>
      </c>
      <c r="H438" s="3">
        <v>1793</v>
      </c>
      <c r="I438" s="3">
        <v>266</v>
      </c>
      <c r="J438" s="3">
        <v>43</v>
      </c>
      <c r="K438" s="12">
        <v>118.68</v>
      </c>
      <c r="L438" s="9">
        <v>4006.16</v>
      </c>
      <c r="M438" s="16">
        <f t="shared" si="30"/>
        <v>0.14835471277189069</v>
      </c>
      <c r="N438" s="18">
        <f t="shared" si="31"/>
        <v>0.16165413533834586</v>
      </c>
      <c r="O438" s="8">
        <f t="shared" si="32"/>
        <v>2.7600000000000002</v>
      </c>
      <c r="P438" s="14">
        <f t="shared" si="33"/>
        <v>3887.48</v>
      </c>
      <c r="Q438" s="16">
        <f t="shared" si="34"/>
        <v>32.755982473879335</v>
      </c>
    </row>
    <row r="439" spans="1:17" x14ac:dyDescent="0.2">
      <c r="A439" s="2">
        <v>45694</v>
      </c>
      <c r="B439" s="3" t="s">
        <v>414</v>
      </c>
      <c r="C439" s="3" t="s">
        <v>54</v>
      </c>
      <c r="D439" s="3" t="s">
        <v>14</v>
      </c>
      <c r="E439" s="3" t="s">
        <v>31</v>
      </c>
      <c r="F439" s="3" t="s">
        <v>50</v>
      </c>
      <c r="G439" s="3" t="s">
        <v>17</v>
      </c>
      <c r="H439" s="3">
        <v>10655</v>
      </c>
      <c r="I439" s="3">
        <v>418</v>
      </c>
      <c r="J439" s="3">
        <v>26</v>
      </c>
      <c r="K439" s="12">
        <v>926.54</v>
      </c>
      <c r="L439" s="9">
        <v>2040.92</v>
      </c>
      <c r="M439" s="16">
        <f t="shared" si="30"/>
        <v>3.9230408259033317E-2</v>
      </c>
      <c r="N439" s="18">
        <f t="shared" si="31"/>
        <v>6.2200956937799042E-2</v>
      </c>
      <c r="O439" s="8">
        <f t="shared" si="32"/>
        <v>35.636153846153846</v>
      </c>
      <c r="P439" s="14">
        <f t="shared" si="33"/>
        <v>1114.3800000000001</v>
      </c>
      <c r="Q439" s="16">
        <f t="shared" si="34"/>
        <v>1.2027327476417642</v>
      </c>
    </row>
    <row r="440" spans="1:17" x14ac:dyDescent="0.2">
      <c r="A440" s="2">
        <v>45694</v>
      </c>
      <c r="B440" s="3" t="s">
        <v>150</v>
      </c>
      <c r="C440" s="3" t="s">
        <v>19</v>
      </c>
      <c r="D440" s="3" t="s">
        <v>14</v>
      </c>
      <c r="E440" s="3" t="s">
        <v>20</v>
      </c>
      <c r="F440" s="3" t="s">
        <v>50</v>
      </c>
      <c r="G440" s="3" t="s">
        <v>17</v>
      </c>
      <c r="H440" s="3">
        <v>9313</v>
      </c>
      <c r="I440" s="3">
        <v>529</v>
      </c>
      <c r="J440" s="3">
        <v>16</v>
      </c>
      <c r="K440" s="12">
        <v>1045.06</v>
      </c>
      <c r="L440" s="9">
        <v>1420.67</v>
      </c>
      <c r="M440" s="16">
        <f t="shared" si="30"/>
        <v>5.6802319338559004E-2</v>
      </c>
      <c r="N440" s="18">
        <f t="shared" si="31"/>
        <v>3.0245746691871456E-2</v>
      </c>
      <c r="O440" s="8">
        <f t="shared" si="32"/>
        <v>65.316249999999997</v>
      </c>
      <c r="P440" s="14">
        <f t="shared" si="33"/>
        <v>375.61000000000013</v>
      </c>
      <c r="Q440" s="16">
        <f t="shared" si="34"/>
        <v>0.35941477044380243</v>
      </c>
    </row>
    <row r="441" spans="1:17" x14ac:dyDescent="0.2">
      <c r="A441" s="2">
        <v>45694</v>
      </c>
      <c r="B441" s="3" t="s">
        <v>175</v>
      </c>
      <c r="C441" s="3" t="s">
        <v>120</v>
      </c>
      <c r="D441" s="3" t="s">
        <v>14</v>
      </c>
      <c r="E441" s="3" t="s">
        <v>31</v>
      </c>
      <c r="F441" s="3" t="s">
        <v>47</v>
      </c>
      <c r="G441" s="3" t="s">
        <v>21</v>
      </c>
      <c r="H441" s="3">
        <v>6378</v>
      </c>
      <c r="I441" s="3">
        <v>253</v>
      </c>
      <c r="J441" s="3">
        <v>11</v>
      </c>
      <c r="K441" s="12">
        <v>638.1</v>
      </c>
      <c r="L441" s="9">
        <v>1122.3</v>
      </c>
      <c r="M441" s="16">
        <f t="shared" si="30"/>
        <v>3.9667607400439009E-2</v>
      </c>
      <c r="N441" s="18">
        <f t="shared" si="31"/>
        <v>4.3478260869565216E-2</v>
      </c>
      <c r="O441" s="8">
        <f t="shared" si="32"/>
        <v>58.009090909090908</v>
      </c>
      <c r="P441" s="14">
        <f t="shared" si="33"/>
        <v>484.19999999999993</v>
      </c>
      <c r="Q441" s="16">
        <f t="shared" si="34"/>
        <v>0.75881523272214368</v>
      </c>
    </row>
    <row r="442" spans="1:17" x14ac:dyDescent="0.2">
      <c r="A442" s="2">
        <v>45694</v>
      </c>
      <c r="B442" s="3" t="s">
        <v>335</v>
      </c>
      <c r="C442" s="3" t="s">
        <v>39</v>
      </c>
      <c r="D442" s="3" t="s">
        <v>28</v>
      </c>
      <c r="E442" s="3" t="s">
        <v>20</v>
      </c>
      <c r="F442" s="3" t="s">
        <v>16</v>
      </c>
      <c r="G442" s="3" t="s">
        <v>17</v>
      </c>
      <c r="H442" s="3">
        <v>24796</v>
      </c>
      <c r="I442" s="3">
        <v>354</v>
      </c>
      <c r="J442" s="3">
        <v>2</v>
      </c>
      <c r="K442" s="12">
        <v>320.61</v>
      </c>
      <c r="L442" s="9">
        <v>108.42</v>
      </c>
      <c r="M442" s="16">
        <f t="shared" si="30"/>
        <v>1.4276496209065978E-2</v>
      </c>
      <c r="N442" s="18">
        <f t="shared" si="31"/>
        <v>5.6497175141242938E-3</v>
      </c>
      <c r="O442" s="8">
        <f t="shared" si="32"/>
        <v>160.30500000000001</v>
      </c>
      <c r="P442" s="14">
        <f t="shared" si="33"/>
        <v>-212.19</v>
      </c>
      <c r="Q442" s="16">
        <f t="shared" si="34"/>
        <v>-0.66183213249742678</v>
      </c>
    </row>
    <row r="443" spans="1:17" x14ac:dyDescent="0.2">
      <c r="A443" s="2">
        <v>45694</v>
      </c>
      <c r="B443" s="3" t="s">
        <v>336</v>
      </c>
      <c r="C443" s="3" t="s">
        <v>39</v>
      </c>
      <c r="D443" s="3" t="s">
        <v>28</v>
      </c>
      <c r="E443" s="3" t="s">
        <v>20</v>
      </c>
      <c r="F443" s="3" t="s">
        <v>47</v>
      </c>
      <c r="G443" s="3" t="s">
        <v>17</v>
      </c>
      <c r="H443" s="3">
        <v>23721</v>
      </c>
      <c r="I443" s="3">
        <v>592</v>
      </c>
      <c r="J443" s="3">
        <v>4</v>
      </c>
      <c r="K443" s="12">
        <v>739.04</v>
      </c>
      <c r="L443" s="9">
        <v>194.21</v>
      </c>
      <c r="M443" s="16">
        <f t="shared" si="30"/>
        <v>2.4956789342776443E-2</v>
      </c>
      <c r="N443" s="18">
        <f t="shared" si="31"/>
        <v>6.7567567567567571E-3</v>
      </c>
      <c r="O443" s="8">
        <f t="shared" si="32"/>
        <v>184.76</v>
      </c>
      <c r="P443" s="14">
        <f t="shared" si="33"/>
        <v>-544.82999999999993</v>
      </c>
      <c r="Q443" s="16">
        <f t="shared" si="34"/>
        <v>-0.73721314137259142</v>
      </c>
    </row>
    <row r="444" spans="1:17" x14ac:dyDescent="0.2">
      <c r="A444" s="2">
        <v>45694</v>
      </c>
      <c r="B444" s="3" t="s">
        <v>220</v>
      </c>
      <c r="C444" s="3" t="s">
        <v>110</v>
      </c>
      <c r="D444" s="3" t="s">
        <v>24</v>
      </c>
      <c r="E444" s="3" t="s">
        <v>20</v>
      </c>
      <c r="F444" s="3" t="s">
        <v>29</v>
      </c>
      <c r="G444" s="3" t="s">
        <v>17</v>
      </c>
      <c r="H444" s="3">
        <v>1487</v>
      </c>
      <c r="I444" s="3">
        <v>232</v>
      </c>
      <c r="J444" s="3">
        <v>31</v>
      </c>
      <c r="K444" s="12">
        <v>113.45</v>
      </c>
      <c r="L444" s="9">
        <v>2575.86</v>
      </c>
      <c r="M444" s="16">
        <f t="shared" si="30"/>
        <v>0.15601882985877605</v>
      </c>
      <c r="N444" s="18">
        <f t="shared" si="31"/>
        <v>0.1336206896551724</v>
      </c>
      <c r="O444" s="8">
        <f t="shared" si="32"/>
        <v>3.6596774193548387</v>
      </c>
      <c r="P444" s="14">
        <f t="shared" si="33"/>
        <v>2462.4100000000003</v>
      </c>
      <c r="Q444" s="16">
        <f t="shared" si="34"/>
        <v>21.704803878360515</v>
      </c>
    </row>
    <row r="445" spans="1:17" x14ac:dyDescent="0.2">
      <c r="A445" s="2">
        <v>45694</v>
      </c>
      <c r="B445" s="3" t="s">
        <v>760</v>
      </c>
      <c r="C445" s="3" t="s">
        <v>19</v>
      </c>
      <c r="D445" s="3" t="s">
        <v>14</v>
      </c>
      <c r="E445" s="3" t="s">
        <v>15</v>
      </c>
      <c r="F445" s="3" t="s">
        <v>16</v>
      </c>
      <c r="G445" s="3" t="s">
        <v>17</v>
      </c>
      <c r="H445" s="3">
        <v>6323</v>
      </c>
      <c r="I445" s="3">
        <v>203</v>
      </c>
      <c r="J445" s="3">
        <v>6</v>
      </c>
      <c r="K445" s="12">
        <v>559.41</v>
      </c>
      <c r="L445" s="9">
        <v>460.97</v>
      </c>
      <c r="M445" s="16">
        <f t="shared" si="30"/>
        <v>3.2105013442985927E-2</v>
      </c>
      <c r="N445" s="18">
        <f t="shared" si="31"/>
        <v>2.9556650246305417E-2</v>
      </c>
      <c r="O445" s="8">
        <f t="shared" si="32"/>
        <v>93.234999999999999</v>
      </c>
      <c r="P445" s="14">
        <f t="shared" si="33"/>
        <v>-98.439999999999941</v>
      </c>
      <c r="Q445" s="16">
        <f t="shared" si="34"/>
        <v>-0.17597111242201596</v>
      </c>
    </row>
    <row r="446" spans="1:17" x14ac:dyDescent="0.2">
      <c r="A446" s="2">
        <v>45694</v>
      </c>
      <c r="B446" s="3" t="s">
        <v>191</v>
      </c>
      <c r="C446" s="3" t="s">
        <v>71</v>
      </c>
      <c r="D446" s="3" t="s">
        <v>37</v>
      </c>
      <c r="E446" s="3" t="s">
        <v>20</v>
      </c>
      <c r="F446" s="3" t="s">
        <v>16</v>
      </c>
      <c r="G446" s="3" t="s">
        <v>17</v>
      </c>
      <c r="H446" s="3">
        <v>3712</v>
      </c>
      <c r="I446" s="3">
        <v>141</v>
      </c>
      <c r="J446" s="3">
        <v>1</v>
      </c>
      <c r="K446" s="12">
        <v>865.23</v>
      </c>
      <c r="L446" s="9">
        <v>165.55</v>
      </c>
      <c r="M446" s="16">
        <f t="shared" si="30"/>
        <v>3.7984913793103446E-2</v>
      </c>
      <c r="N446" s="18">
        <f t="shared" si="31"/>
        <v>7.0921985815602835E-3</v>
      </c>
      <c r="O446" s="8">
        <f t="shared" si="32"/>
        <v>865.23</v>
      </c>
      <c r="P446" s="14">
        <f t="shared" si="33"/>
        <v>-699.68000000000006</v>
      </c>
      <c r="Q446" s="16">
        <f t="shared" si="34"/>
        <v>-0.80866359233960916</v>
      </c>
    </row>
    <row r="447" spans="1:17" x14ac:dyDescent="0.2">
      <c r="A447" s="2">
        <v>45694</v>
      </c>
      <c r="B447" s="3" t="s">
        <v>48</v>
      </c>
      <c r="C447" s="3" t="s">
        <v>41</v>
      </c>
      <c r="D447" s="3" t="s">
        <v>24</v>
      </c>
      <c r="E447" s="3" t="s">
        <v>31</v>
      </c>
      <c r="F447" s="3" t="s">
        <v>34</v>
      </c>
      <c r="G447" s="3" t="s">
        <v>17</v>
      </c>
      <c r="H447" s="3">
        <v>2625</v>
      </c>
      <c r="I447" s="3">
        <v>438</v>
      </c>
      <c r="J447" s="3">
        <v>51</v>
      </c>
      <c r="K447" s="12">
        <v>173.39</v>
      </c>
      <c r="L447" s="9">
        <v>6015.35</v>
      </c>
      <c r="M447" s="16">
        <f t="shared" si="30"/>
        <v>0.16685714285714287</v>
      </c>
      <c r="N447" s="18">
        <f t="shared" si="31"/>
        <v>0.11643835616438356</v>
      </c>
      <c r="O447" s="8">
        <f t="shared" si="32"/>
        <v>3.3998039215686271</v>
      </c>
      <c r="P447" s="14">
        <f t="shared" si="33"/>
        <v>5841.96</v>
      </c>
      <c r="Q447" s="16">
        <f t="shared" si="34"/>
        <v>33.692600495991698</v>
      </c>
    </row>
    <row r="448" spans="1:17" x14ac:dyDescent="0.2">
      <c r="A448" s="2">
        <v>45694</v>
      </c>
      <c r="B448" s="3" t="s">
        <v>761</v>
      </c>
      <c r="C448" s="3" t="s">
        <v>45</v>
      </c>
      <c r="D448" s="3" t="s">
        <v>46</v>
      </c>
      <c r="E448" s="3" t="s">
        <v>20</v>
      </c>
      <c r="F448" s="3" t="s">
        <v>50</v>
      </c>
      <c r="G448" s="3" t="s">
        <v>17</v>
      </c>
      <c r="H448" s="3">
        <v>8129</v>
      </c>
      <c r="I448" s="3">
        <v>182</v>
      </c>
      <c r="J448" s="3">
        <v>5</v>
      </c>
      <c r="K448" s="12">
        <v>245.96</v>
      </c>
      <c r="L448" s="9">
        <v>357.27</v>
      </c>
      <c r="M448" s="16">
        <f t="shared" si="30"/>
        <v>2.2388977734038626E-2</v>
      </c>
      <c r="N448" s="18">
        <f t="shared" si="31"/>
        <v>2.7472527472527472E-2</v>
      </c>
      <c r="O448" s="8">
        <f t="shared" si="32"/>
        <v>49.192</v>
      </c>
      <c r="P448" s="14">
        <f t="shared" si="33"/>
        <v>111.30999999999997</v>
      </c>
      <c r="Q448" s="16">
        <f t="shared" si="34"/>
        <v>0.45255326069279544</v>
      </c>
    </row>
    <row r="449" spans="1:17" x14ac:dyDescent="0.2">
      <c r="A449" s="2">
        <v>45694</v>
      </c>
      <c r="B449" s="3" t="s">
        <v>762</v>
      </c>
      <c r="C449" s="3" t="s">
        <v>156</v>
      </c>
      <c r="D449" s="3" t="s">
        <v>46</v>
      </c>
      <c r="E449" s="3" t="s">
        <v>31</v>
      </c>
      <c r="F449" s="3" t="s">
        <v>47</v>
      </c>
      <c r="G449" s="3" t="s">
        <v>21</v>
      </c>
      <c r="H449" s="3">
        <v>13972</v>
      </c>
      <c r="I449" s="3">
        <v>285</v>
      </c>
      <c r="J449" s="3">
        <v>9</v>
      </c>
      <c r="K449" s="12">
        <v>476.7</v>
      </c>
      <c r="L449" s="9">
        <v>584.34</v>
      </c>
      <c r="M449" s="16">
        <f t="shared" si="30"/>
        <v>2.039793873461208E-2</v>
      </c>
      <c r="N449" s="18">
        <f t="shared" si="31"/>
        <v>3.1578947368421054E-2</v>
      </c>
      <c r="O449" s="8">
        <f t="shared" si="32"/>
        <v>52.966666666666669</v>
      </c>
      <c r="P449" s="14">
        <f t="shared" si="33"/>
        <v>107.64000000000004</v>
      </c>
      <c r="Q449" s="16">
        <f t="shared" si="34"/>
        <v>0.22580239144115805</v>
      </c>
    </row>
    <row r="450" spans="1:17" x14ac:dyDescent="0.2">
      <c r="A450" s="2">
        <v>45694</v>
      </c>
      <c r="B450" s="3" t="s">
        <v>763</v>
      </c>
      <c r="C450" s="3" t="s">
        <v>71</v>
      </c>
      <c r="D450" s="3" t="s">
        <v>37</v>
      </c>
      <c r="E450" s="3" t="s">
        <v>31</v>
      </c>
      <c r="F450" s="3" t="s">
        <v>34</v>
      </c>
      <c r="G450" s="3" t="s">
        <v>17</v>
      </c>
      <c r="H450" s="3">
        <v>6581</v>
      </c>
      <c r="I450" s="3">
        <v>190</v>
      </c>
      <c r="J450" s="3">
        <v>8</v>
      </c>
      <c r="K450" s="12">
        <v>1214.26</v>
      </c>
      <c r="L450" s="9">
        <v>881.61</v>
      </c>
      <c r="M450" s="16">
        <f t="shared" si="30"/>
        <v>2.8870992250417869E-2</v>
      </c>
      <c r="N450" s="18">
        <f t="shared" si="31"/>
        <v>4.2105263157894736E-2</v>
      </c>
      <c r="O450" s="8">
        <f t="shared" si="32"/>
        <v>151.7825</v>
      </c>
      <c r="P450" s="14">
        <f t="shared" si="33"/>
        <v>-332.65</v>
      </c>
      <c r="Q450" s="16">
        <f t="shared" si="34"/>
        <v>-0.27395286017821552</v>
      </c>
    </row>
    <row r="451" spans="1:17" x14ac:dyDescent="0.2">
      <c r="A451" s="2">
        <v>45694</v>
      </c>
      <c r="B451" s="3" t="s">
        <v>764</v>
      </c>
      <c r="C451" s="3" t="s">
        <v>36</v>
      </c>
      <c r="D451" s="3" t="s">
        <v>37</v>
      </c>
      <c r="E451" s="3" t="s">
        <v>31</v>
      </c>
      <c r="F451" s="3" t="s">
        <v>29</v>
      </c>
      <c r="G451" s="3" t="s">
        <v>17</v>
      </c>
      <c r="H451" s="3">
        <v>4895</v>
      </c>
      <c r="I451" s="3">
        <v>203</v>
      </c>
      <c r="J451" s="3">
        <v>5</v>
      </c>
      <c r="K451" s="12">
        <v>1136.3699999999999</v>
      </c>
      <c r="L451" s="9">
        <v>533.36</v>
      </c>
      <c r="M451" s="16">
        <f t="shared" ref="M451:M514" si="35">IFERROR(I451/H451,0)</f>
        <v>4.14708886618999E-2</v>
      </c>
      <c r="N451" s="18">
        <f t="shared" ref="N451:N514" si="36">IFERROR(J451/I451,0)</f>
        <v>2.4630541871921183E-2</v>
      </c>
      <c r="O451" s="8">
        <f t="shared" ref="O451:O514" si="37">IFERROR(K451/J451,0)</f>
        <v>227.27399999999997</v>
      </c>
      <c r="P451" s="14">
        <f t="shared" ref="P451:P514" si="38">L451-K451</f>
        <v>-603.00999999999988</v>
      </c>
      <c r="Q451" s="16">
        <f t="shared" ref="Q451:Q514" si="39">IFERROR((L451-K451)/K451,0)</f>
        <v>-0.53064582838336105</v>
      </c>
    </row>
    <row r="452" spans="1:17" x14ac:dyDescent="0.2">
      <c r="A452" s="2">
        <v>45695</v>
      </c>
      <c r="B452" s="3" t="s">
        <v>765</v>
      </c>
      <c r="C452" s="3" t="s">
        <v>71</v>
      </c>
      <c r="D452" s="3" t="s">
        <v>37</v>
      </c>
      <c r="E452" s="3" t="s">
        <v>15</v>
      </c>
      <c r="F452" s="3" t="s">
        <v>29</v>
      </c>
      <c r="G452" s="3" t="s">
        <v>21</v>
      </c>
      <c r="H452" s="3">
        <v>6198</v>
      </c>
      <c r="I452" s="3">
        <v>217</v>
      </c>
      <c r="J452" s="3">
        <v>2</v>
      </c>
      <c r="K452" s="12">
        <v>851.53</v>
      </c>
      <c r="L452" s="9">
        <v>391.38</v>
      </c>
      <c r="M452" s="16">
        <f t="shared" si="35"/>
        <v>3.5011293965795415E-2</v>
      </c>
      <c r="N452" s="18">
        <f t="shared" si="36"/>
        <v>9.2165898617511521E-3</v>
      </c>
      <c r="O452" s="8">
        <f t="shared" si="37"/>
        <v>425.76499999999999</v>
      </c>
      <c r="P452" s="14">
        <f t="shared" si="38"/>
        <v>-460.15</v>
      </c>
      <c r="Q452" s="16">
        <f t="shared" si="39"/>
        <v>-0.54038025671438472</v>
      </c>
    </row>
    <row r="453" spans="1:17" x14ac:dyDescent="0.2">
      <c r="A453" s="2">
        <v>45695</v>
      </c>
      <c r="B453" s="3" t="s">
        <v>117</v>
      </c>
      <c r="C453" s="3" t="s">
        <v>13</v>
      </c>
      <c r="D453" s="3" t="s">
        <v>14</v>
      </c>
      <c r="E453" s="3" t="s">
        <v>15</v>
      </c>
      <c r="F453" s="3" t="s">
        <v>47</v>
      </c>
      <c r="G453" s="3" t="s">
        <v>17</v>
      </c>
      <c r="H453" s="3">
        <v>8722</v>
      </c>
      <c r="I453" s="3">
        <v>269</v>
      </c>
      <c r="J453" s="3">
        <v>2</v>
      </c>
      <c r="K453" s="12">
        <v>821.84</v>
      </c>
      <c r="L453" s="9">
        <v>227.48</v>
      </c>
      <c r="M453" s="16">
        <f t="shared" si="35"/>
        <v>3.0841550103187343E-2</v>
      </c>
      <c r="N453" s="18">
        <f t="shared" si="36"/>
        <v>7.4349442379182153E-3</v>
      </c>
      <c r="O453" s="8">
        <f t="shared" si="37"/>
        <v>410.92</v>
      </c>
      <c r="P453" s="14">
        <f t="shared" si="38"/>
        <v>-594.36</v>
      </c>
      <c r="Q453" s="16">
        <f t="shared" si="39"/>
        <v>-0.72320646354521556</v>
      </c>
    </row>
    <row r="454" spans="1:17" x14ac:dyDescent="0.2">
      <c r="A454" s="2">
        <v>45695</v>
      </c>
      <c r="B454" s="3" t="s">
        <v>334</v>
      </c>
      <c r="C454" s="3" t="s">
        <v>97</v>
      </c>
      <c r="D454" s="3" t="s">
        <v>46</v>
      </c>
      <c r="E454" s="3" t="s">
        <v>20</v>
      </c>
      <c r="F454" s="3" t="s">
        <v>34</v>
      </c>
      <c r="G454" s="3" t="s">
        <v>17</v>
      </c>
      <c r="H454" s="3">
        <v>18266</v>
      </c>
      <c r="I454" s="3">
        <v>542</v>
      </c>
      <c r="J454" s="3">
        <v>15</v>
      </c>
      <c r="K454" s="12">
        <v>670.09</v>
      </c>
      <c r="L454" s="9">
        <v>773.3</v>
      </c>
      <c r="M454" s="16">
        <f t="shared" si="35"/>
        <v>2.9672615788897405E-2</v>
      </c>
      <c r="N454" s="18">
        <f t="shared" si="36"/>
        <v>2.7675276752767528E-2</v>
      </c>
      <c r="O454" s="8">
        <f t="shared" si="37"/>
        <v>44.672666666666672</v>
      </c>
      <c r="P454" s="14">
        <f t="shared" si="38"/>
        <v>103.20999999999992</v>
      </c>
      <c r="Q454" s="16">
        <f t="shared" si="39"/>
        <v>0.15402408631676329</v>
      </c>
    </row>
    <row r="455" spans="1:17" x14ac:dyDescent="0.2">
      <c r="A455" s="2">
        <v>45695</v>
      </c>
      <c r="B455" s="3" t="s">
        <v>128</v>
      </c>
      <c r="C455" s="3" t="s">
        <v>156</v>
      </c>
      <c r="D455" s="3" t="s">
        <v>46</v>
      </c>
      <c r="E455" s="3" t="s">
        <v>20</v>
      </c>
      <c r="F455" s="3" t="s">
        <v>34</v>
      </c>
      <c r="G455" s="3" t="s">
        <v>25</v>
      </c>
      <c r="H455" s="3">
        <v>11690</v>
      </c>
      <c r="I455" s="3">
        <v>371</v>
      </c>
      <c r="J455" s="3">
        <v>7</v>
      </c>
      <c r="K455" s="12">
        <v>575.82000000000005</v>
      </c>
      <c r="L455" s="9">
        <v>693.63</v>
      </c>
      <c r="M455" s="16">
        <f t="shared" si="35"/>
        <v>3.1736526946107783E-2</v>
      </c>
      <c r="N455" s="18">
        <f t="shared" si="36"/>
        <v>1.8867924528301886E-2</v>
      </c>
      <c r="O455" s="8">
        <f t="shared" si="37"/>
        <v>82.26</v>
      </c>
      <c r="P455" s="14">
        <f t="shared" si="38"/>
        <v>117.80999999999995</v>
      </c>
      <c r="Q455" s="16">
        <f t="shared" si="39"/>
        <v>0.20459518599562351</v>
      </c>
    </row>
    <row r="456" spans="1:17" x14ac:dyDescent="0.2">
      <c r="A456" s="2">
        <v>45695</v>
      </c>
      <c r="B456" s="3" t="s">
        <v>161</v>
      </c>
      <c r="C456" s="3" t="s">
        <v>13</v>
      </c>
      <c r="D456" s="3" t="s">
        <v>14</v>
      </c>
      <c r="E456" s="3" t="s">
        <v>31</v>
      </c>
      <c r="F456" s="3" t="s">
        <v>47</v>
      </c>
      <c r="G456" s="3" t="s">
        <v>17</v>
      </c>
      <c r="H456" s="3">
        <v>10362</v>
      </c>
      <c r="I456" s="3">
        <v>616</v>
      </c>
      <c r="J456" s="3">
        <v>20</v>
      </c>
      <c r="K456" s="12">
        <v>1244.21</v>
      </c>
      <c r="L456" s="9">
        <v>2096.16</v>
      </c>
      <c r="M456" s="16">
        <f t="shared" si="35"/>
        <v>5.9447983014861996E-2</v>
      </c>
      <c r="N456" s="18">
        <f t="shared" si="36"/>
        <v>3.2467532467532464E-2</v>
      </c>
      <c r="O456" s="8">
        <f t="shared" si="37"/>
        <v>62.210500000000003</v>
      </c>
      <c r="P456" s="14">
        <f t="shared" si="38"/>
        <v>851.94999999999982</v>
      </c>
      <c r="Q456" s="16">
        <f t="shared" si="39"/>
        <v>0.68473167712845884</v>
      </c>
    </row>
    <row r="457" spans="1:17" x14ac:dyDescent="0.2">
      <c r="A457" s="2">
        <v>45695</v>
      </c>
      <c r="B457" s="3" t="s">
        <v>537</v>
      </c>
      <c r="C457" s="3" t="s">
        <v>120</v>
      </c>
      <c r="D457" s="3" t="s">
        <v>14</v>
      </c>
      <c r="E457" s="3" t="s">
        <v>20</v>
      </c>
      <c r="F457" s="3" t="s">
        <v>47</v>
      </c>
      <c r="G457" s="3" t="s">
        <v>17</v>
      </c>
      <c r="H457" s="3">
        <v>9801</v>
      </c>
      <c r="I457" s="3">
        <v>698</v>
      </c>
      <c r="J457" s="3">
        <v>31</v>
      </c>
      <c r="K457" s="12">
        <v>1691.25</v>
      </c>
      <c r="L457" s="9">
        <v>2499.91</v>
      </c>
      <c r="M457" s="16">
        <f t="shared" si="35"/>
        <v>7.1217222732374241E-2</v>
      </c>
      <c r="N457" s="18">
        <f t="shared" si="36"/>
        <v>4.4412607449856735E-2</v>
      </c>
      <c r="O457" s="8">
        <f t="shared" si="37"/>
        <v>54.556451612903224</v>
      </c>
      <c r="P457" s="14">
        <f t="shared" si="38"/>
        <v>808.65999999999985</v>
      </c>
      <c r="Q457" s="16">
        <f t="shared" si="39"/>
        <v>0.47814338507021426</v>
      </c>
    </row>
    <row r="458" spans="1:17" x14ac:dyDescent="0.2">
      <c r="A458" s="2">
        <v>45695</v>
      </c>
      <c r="B458" s="3" t="s">
        <v>766</v>
      </c>
      <c r="C458" s="3" t="s">
        <v>58</v>
      </c>
      <c r="D458" s="3" t="s">
        <v>37</v>
      </c>
      <c r="E458" s="3" t="s">
        <v>31</v>
      </c>
      <c r="F458" s="3" t="s">
        <v>50</v>
      </c>
      <c r="G458" s="3" t="s">
        <v>17</v>
      </c>
      <c r="H458" s="3">
        <v>3909</v>
      </c>
      <c r="I458" s="3">
        <v>221</v>
      </c>
      <c r="J458" s="3">
        <v>6</v>
      </c>
      <c r="K458" s="12">
        <v>1622.39</v>
      </c>
      <c r="L458" s="9">
        <v>1233.28</v>
      </c>
      <c r="M458" s="16">
        <f t="shared" si="35"/>
        <v>5.6536198516244564E-2</v>
      </c>
      <c r="N458" s="18">
        <f t="shared" si="36"/>
        <v>2.7149321266968326E-2</v>
      </c>
      <c r="O458" s="8">
        <f t="shared" si="37"/>
        <v>270.39833333333337</v>
      </c>
      <c r="P458" s="14">
        <f t="shared" si="38"/>
        <v>-389.11000000000013</v>
      </c>
      <c r="Q458" s="16">
        <f t="shared" si="39"/>
        <v>-0.23983752365337563</v>
      </c>
    </row>
    <row r="459" spans="1:17" x14ac:dyDescent="0.2">
      <c r="A459" s="2">
        <v>45695</v>
      </c>
      <c r="B459" s="3" t="s">
        <v>767</v>
      </c>
      <c r="C459" s="3" t="s">
        <v>58</v>
      </c>
      <c r="D459" s="3" t="s">
        <v>37</v>
      </c>
      <c r="E459" s="3" t="s">
        <v>20</v>
      </c>
      <c r="F459" s="3" t="s">
        <v>50</v>
      </c>
      <c r="G459" s="3" t="s">
        <v>17</v>
      </c>
      <c r="H459" s="3">
        <v>6329</v>
      </c>
      <c r="I459" s="3">
        <v>208</v>
      </c>
      <c r="J459" s="3">
        <v>1</v>
      </c>
      <c r="K459" s="12">
        <v>1754.72</v>
      </c>
      <c r="L459" s="9">
        <v>149.35</v>
      </c>
      <c r="M459" s="16">
        <f t="shared" si="35"/>
        <v>3.2864591562648128E-2</v>
      </c>
      <c r="N459" s="18">
        <f t="shared" si="36"/>
        <v>4.807692307692308E-3</v>
      </c>
      <c r="O459" s="8">
        <f t="shared" si="37"/>
        <v>1754.72</v>
      </c>
      <c r="P459" s="14">
        <f t="shared" si="38"/>
        <v>-1605.3700000000001</v>
      </c>
      <c r="Q459" s="16">
        <f t="shared" si="39"/>
        <v>-0.91488670557125928</v>
      </c>
    </row>
    <row r="460" spans="1:17" x14ac:dyDescent="0.2">
      <c r="A460" s="2">
        <v>45695</v>
      </c>
      <c r="B460" s="3" t="s">
        <v>768</v>
      </c>
      <c r="C460" s="3" t="s">
        <v>39</v>
      </c>
      <c r="D460" s="3" t="s">
        <v>28</v>
      </c>
      <c r="E460" s="3" t="s">
        <v>20</v>
      </c>
      <c r="F460" s="3" t="s">
        <v>29</v>
      </c>
      <c r="G460" s="3" t="s">
        <v>25</v>
      </c>
      <c r="H460" s="3">
        <v>31702</v>
      </c>
      <c r="I460" s="3">
        <v>527</v>
      </c>
      <c r="J460" s="3">
        <v>2</v>
      </c>
      <c r="K460" s="12">
        <v>525.39</v>
      </c>
      <c r="L460" s="9">
        <v>135.55000000000001</v>
      </c>
      <c r="M460" s="16">
        <f t="shared" si="35"/>
        <v>1.6623556873383384E-2</v>
      </c>
      <c r="N460" s="18">
        <f t="shared" si="36"/>
        <v>3.7950664136622392E-3</v>
      </c>
      <c r="O460" s="8">
        <f t="shared" si="37"/>
        <v>262.69499999999999</v>
      </c>
      <c r="P460" s="14">
        <f t="shared" si="38"/>
        <v>-389.84</v>
      </c>
      <c r="Q460" s="16">
        <f t="shared" si="39"/>
        <v>-0.74200118007575322</v>
      </c>
    </row>
    <row r="461" spans="1:17" x14ac:dyDescent="0.2">
      <c r="A461" s="2">
        <v>45695</v>
      </c>
      <c r="B461" s="3" t="s">
        <v>769</v>
      </c>
      <c r="C461" s="3" t="s">
        <v>54</v>
      </c>
      <c r="D461" s="3" t="s">
        <v>14</v>
      </c>
      <c r="E461" s="3" t="s">
        <v>31</v>
      </c>
      <c r="F461" s="3" t="s">
        <v>34</v>
      </c>
      <c r="G461" s="3" t="s">
        <v>17</v>
      </c>
      <c r="H461" s="3">
        <v>8247</v>
      </c>
      <c r="I461" s="3">
        <v>502</v>
      </c>
      <c r="J461" s="3">
        <v>20</v>
      </c>
      <c r="K461" s="12">
        <v>1387.44</v>
      </c>
      <c r="L461" s="9">
        <v>1418.32</v>
      </c>
      <c r="M461" s="16">
        <f t="shared" si="35"/>
        <v>6.0870619619255488E-2</v>
      </c>
      <c r="N461" s="18">
        <f t="shared" si="36"/>
        <v>3.9840637450199202E-2</v>
      </c>
      <c r="O461" s="8">
        <f t="shared" si="37"/>
        <v>69.372</v>
      </c>
      <c r="P461" s="14">
        <f t="shared" si="38"/>
        <v>30.879999999999882</v>
      </c>
      <c r="Q461" s="16">
        <f t="shared" si="39"/>
        <v>2.2256818312863892E-2</v>
      </c>
    </row>
    <row r="462" spans="1:17" x14ac:dyDescent="0.2">
      <c r="A462" s="2">
        <v>45695</v>
      </c>
      <c r="B462" s="3" t="s">
        <v>770</v>
      </c>
      <c r="C462" s="3" t="s">
        <v>52</v>
      </c>
      <c r="D462" s="3" t="s">
        <v>24</v>
      </c>
      <c r="E462" s="3" t="s">
        <v>31</v>
      </c>
      <c r="F462" s="3" t="s">
        <v>47</v>
      </c>
      <c r="G462" s="3" t="s">
        <v>17</v>
      </c>
      <c r="H462" s="3">
        <v>3362</v>
      </c>
      <c r="I462" s="3">
        <v>478</v>
      </c>
      <c r="J462" s="3">
        <v>79</v>
      </c>
      <c r="K462" s="12">
        <v>139.29</v>
      </c>
      <c r="L462" s="9">
        <v>10192.16</v>
      </c>
      <c r="M462" s="16">
        <f t="shared" si="35"/>
        <v>0.14217727543129091</v>
      </c>
      <c r="N462" s="18">
        <f t="shared" si="36"/>
        <v>0.16527196652719664</v>
      </c>
      <c r="O462" s="8">
        <f t="shared" si="37"/>
        <v>1.7631645569620251</v>
      </c>
      <c r="P462" s="14">
        <f t="shared" si="38"/>
        <v>10052.869999999999</v>
      </c>
      <c r="Q462" s="16">
        <f t="shared" si="39"/>
        <v>72.172230598032883</v>
      </c>
    </row>
    <row r="463" spans="1:17" x14ac:dyDescent="0.2">
      <c r="A463" s="2">
        <v>45695</v>
      </c>
      <c r="B463" s="3" t="s">
        <v>500</v>
      </c>
      <c r="C463" s="3" t="s">
        <v>19</v>
      </c>
      <c r="D463" s="3" t="s">
        <v>14</v>
      </c>
      <c r="E463" s="3" t="s">
        <v>15</v>
      </c>
      <c r="F463" s="3" t="s">
        <v>16</v>
      </c>
      <c r="G463" s="3" t="s">
        <v>17</v>
      </c>
      <c r="H463" s="3">
        <v>10334</v>
      </c>
      <c r="I463" s="3">
        <v>404</v>
      </c>
      <c r="J463" s="3">
        <v>11</v>
      </c>
      <c r="K463" s="12">
        <v>711.19</v>
      </c>
      <c r="L463" s="9">
        <v>686.08</v>
      </c>
      <c r="M463" s="16">
        <f t="shared" si="35"/>
        <v>3.9094251983742986E-2</v>
      </c>
      <c r="N463" s="18">
        <f t="shared" si="36"/>
        <v>2.7227722772277228E-2</v>
      </c>
      <c r="O463" s="8">
        <f t="shared" si="37"/>
        <v>64.653636363636366</v>
      </c>
      <c r="P463" s="14">
        <f t="shared" si="38"/>
        <v>-25.110000000000014</v>
      </c>
      <c r="Q463" s="16">
        <f t="shared" si="39"/>
        <v>-3.5307020627399162E-2</v>
      </c>
    </row>
    <row r="464" spans="1:17" x14ac:dyDescent="0.2">
      <c r="A464" s="2">
        <v>45696</v>
      </c>
      <c r="B464" s="3" t="s">
        <v>259</v>
      </c>
      <c r="C464" s="3" t="s">
        <v>41</v>
      </c>
      <c r="D464" s="3" t="s">
        <v>24</v>
      </c>
      <c r="E464" s="3" t="s">
        <v>20</v>
      </c>
      <c r="F464" s="3" t="s">
        <v>16</v>
      </c>
      <c r="G464" s="3" t="s">
        <v>17</v>
      </c>
      <c r="H464" s="3">
        <v>2924</v>
      </c>
      <c r="I464" s="3">
        <v>431</v>
      </c>
      <c r="J464" s="3">
        <v>55</v>
      </c>
      <c r="K464" s="12">
        <v>176.91</v>
      </c>
      <c r="L464" s="9">
        <v>5326.9</v>
      </c>
      <c r="M464" s="16">
        <f t="shared" si="35"/>
        <v>0.14740082079343364</v>
      </c>
      <c r="N464" s="18">
        <f t="shared" si="36"/>
        <v>0.12761020881670534</v>
      </c>
      <c r="O464" s="8">
        <f t="shared" si="37"/>
        <v>3.2165454545454546</v>
      </c>
      <c r="P464" s="14">
        <f t="shared" si="38"/>
        <v>5149.99</v>
      </c>
      <c r="Q464" s="16">
        <f t="shared" si="39"/>
        <v>29.110790797580691</v>
      </c>
    </row>
    <row r="465" spans="1:17" x14ac:dyDescent="0.2">
      <c r="A465" s="2">
        <v>45696</v>
      </c>
      <c r="B465" s="3" t="s">
        <v>771</v>
      </c>
      <c r="C465" s="3" t="s">
        <v>58</v>
      </c>
      <c r="D465" s="3" t="s">
        <v>37</v>
      </c>
      <c r="E465" s="3" t="s">
        <v>20</v>
      </c>
      <c r="F465" s="3" t="s">
        <v>29</v>
      </c>
      <c r="G465" s="3" t="s">
        <v>17</v>
      </c>
      <c r="H465" s="3">
        <v>4403</v>
      </c>
      <c r="I465" s="3">
        <v>162</v>
      </c>
      <c r="J465" s="3">
        <v>1</v>
      </c>
      <c r="K465" s="12">
        <v>784.84</v>
      </c>
      <c r="L465" s="9">
        <v>180.02</v>
      </c>
      <c r="M465" s="16">
        <f t="shared" si="35"/>
        <v>3.6793095616625027E-2</v>
      </c>
      <c r="N465" s="18">
        <f t="shared" si="36"/>
        <v>6.1728395061728392E-3</v>
      </c>
      <c r="O465" s="8">
        <f t="shared" si="37"/>
        <v>784.84</v>
      </c>
      <c r="P465" s="14">
        <f t="shared" si="38"/>
        <v>-604.82000000000005</v>
      </c>
      <c r="Q465" s="16">
        <f t="shared" si="39"/>
        <v>-0.77062840833800528</v>
      </c>
    </row>
    <row r="466" spans="1:17" x14ac:dyDescent="0.2">
      <c r="A466" s="2">
        <v>45696</v>
      </c>
      <c r="B466" s="3" t="s">
        <v>772</v>
      </c>
      <c r="C466" s="3" t="s">
        <v>110</v>
      </c>
      <c r="D466" s="3" t="s">
        <v>24</v>
      </c>
      <c r="E466" s="3" t="s">
        <v>31</v>
      </c>
      <c r="F466" s="3" t="s">
        <v>16</v>
      </c>
      <c r="G466" s="3" t="s">
        <v>17</v>
      </c>
      <c r="H466" s="3">
        <v>3663</v>
      </c>
      <c r="I466" s="3">
        <v>399</v>
      </c>
      <c r="J466" s="3">
        <v>59</v>
      </c>
      <c r="K466" s="12">
        <v>88.39</v>
      </c>
      <c r="L466" s="9">
        <v>5965.24</v>
      </c>
      <c r="M466" s="16">
        <f t="shared" si="35"/>
        <v>0.10892710892710893</v>
      </c>
      <c r="N466" s="18">
        <f t="shared" si="36"/>
        <v>0.14786967418546365</v>
      </c>
      <c r="O466" s="8">
        <f t="shared" si="37"/>
        <v>1.4981355932203391</v>
      </c>
      <c r="P466" s="14">
        <f t="shared" si="38"/>
        <v>5876.8499999999995</v>
      </c>
      <c r="Q466" s="16">
        <f t="shared" si="39"/>
        <v>66.487724855752901</v>
      </c>
    </row>
    <row r="467" spans="1:17" x14ac:dyDescent="0.2">
      <c r="A467" s="2">
        <v>45696</v>
      </c>
      <c r="B467" s="3" t="s">
        <v>773</v>
      </c>
      <c r="C467" s="3" t="s">
        <v>36</v>
      </c>
      <c r="D467" s="3" t="s">
        <v>37</v>
      </c>
      <c r="E467" s="3" t="s">
        <v>20</v>
      </c>
      <c r="F467" s="3" t="s">
        <v>34</v>
      </c>
      <c r="G467" s="3" t="s">
        <v>17</v>
      </c>
      <c r="H467" s="3">
        <v>2216</v>
      </c>
      <c r="I467" s="3">
        <v>114</v>
      </c>
      <c r="J467" s="3">
        <v>2</v>
      </c>
      <c r="K467" s="12">
        <v>542.55999999999995</v>
      </c>
      <c r="L467" s="9">
        <v>78.099999999999994</v>
      </c>
      <c r="M467" s="16">
        <f t="shared" si="35"/>
        <v>5.1444043321299641E-2</v>
      </c>
      <c r="N467" s="18">
        <f t="shared" si="36"/>
        <v>1.7543859649122806E-2</v>
      </c>
      <c r="O467" s="8">
        <f t="shared" si="37"/>
        <v>271.27999999999997</v>
      </c>
      <c r="P467" s="14">
        <f t="shared" si="38"/>
        <v>-464.45999999999992</v>
      </c>
      <c r="Q467" s="16">
        <f t="shared" si="39"/>
        <v>-0.8560527867885579</v>
      </c>
    </row>
    <row r="468" spans="1:17" x14ac:dyDescent="0.2">
      <c r="A468" s="2">
        <v>45696</v>
      </c>
      <c r="B468" s="3" t="s">
        <v>774</v>
      </c>
      <c r="C468" s="3" t="s">
        <v>41</v>
      </c>
      <c r="D468" s="3" t="s">
        <v>24</v>
      </c>
      <c r="E468" s="3" t="s">
        <v>20</v>
      </c>
      <c r="F468" s="3" t="s">
        <v>50</v>
      </c>
      <c r="G468" s="3" t="s">
        <v>17</v>
      </c>
      <c r="H468" s="3">
        <v>3226</v>
      </c>
      <c r="I468" s="3">
        <v>293</v>
      </c>
      <c r="J468" s="3">
        <v>31</v>
      </c>
      <c r="K468" s="12">
        <v>66.510000000000005</v>
      </c>
      <c r="L468" s="9">
        <v>4022.63</v>
      </c>
      <c r="M468" s="16">
        <f t="shared" si="35"/>
        <v>9.0824550526968376E-2</v>
      </c>
      <c r="N468" s="18">
        <f t="shared" si="36"/>
        <v>0.10580204778156997</v>
      </c>
      <c r="O468" s="8">
        <f t="shared" si="37"/>
        <v>2.145483870967742</v>
      </c>
      <c r="P468" s="14">
        <f t="shared" si="38"/>
        <v>3956.12</v>
      </c>
      <c r="Q468" s="16">
        <f t="shared" si="39"/>
        <v>59.481581717035027</v>
      </c>
    </row>
    <row r="469" spans="1:17" x14ac:dyDescent="0.2">
      <c r="A469" s="2">
        <v>45696</v>
      </c>
      <c r="B469" s="3" t="s">
        <v>775</v>
      </c>
      <c r="C469" s="3" t="s">
        <v>74</v>
      </c>
      <c r="D469" s="3" t="s">
        <v>28</v>
      </c>
      <c r="E469" s="3" t="s">
        <v>31</v>
      </c>
      <c r="F469" s="3" t="s">
        <v>50</v>
      </c>
      <c r="G469" s="3" t="s">
        <v>25</v>
      </c>
      <c r="H469" s="3">
        <v>24215</v>
      </c>
      <c r="I469" s="3">
        <v>654</v>
      </c>
      <c r="J469" s="3">
        <v>18</v>
      </c>
      <c r="K469" s="12">
        <v>997.32</v>
      </c>
      <c r="L469" s="9">
        <v>971.13</v>
      </c>
      <c r="M469" s="16">
        <f t="shared" si="35"/>
        <v>2.7008052859797647E-2</v>
      </c>
      <c r="N469" s="18">
        <f t="shared" si="36"/>
        <v>2.7522935779816515E-2</v>
      </c>
      <c r="O469" s="8">
        <f t="shared" si="37"/>
        <v>55.406666666666666</v>
      </c>
      <c r="P469" s="14">
        <f t="shared" si="38"/>
        <v>-26.190000000000055</v>
      </c>
      <c r="Q469" s="16">
        <f t="shared" si="39"/>
        <v>-2.6260377812537653E-2</v>
      </c>
    </row>
    <row r="470" spans="1:17" x14ac:dyDescent="0.2">
      <c r="A470" s="2">
        <v>45696</v>
      </c>
      <c r="B470" s="3" t="s">
        <v>249</v>
      </c>
      <c r="C470" s="3" t="s">
        <v>43</v>
      </c>
      <c r="D470" s="3" t="s">
        <v>37</v>
      </c>
      <c r="E470" s="3" t="s">
        <v>31</v>
      </c>
      <c r="F470" s="3" t="s">
        <v>16</v>
      </c>
      <c r="G470" s="3" t="s">
        <v>17</v>
      </c>
      <c r="H470" s="3">
        <v>2914</v>
      </c>
      <c r="I470" s="3">
        <v>108</v>
      </c>
      <c r="J470" s="3">
        <v>3</v>
      </c>
      <c r="K470" s="12">
        <v>488.31</v>
      </c>
      <c r="L470" s="9">
        <v>542.4</v>
      </c>
      <c r="M470" s="16">
        <f t="shared" si="35"/>
        <v>3.7062457103637612E-2</v>
      </c>
      <c r="N470" s="18">
        <f t="shared" si="36"/>
        <v>2.7777777777777776E-2</v>
      </c>
      <c r="O470" s="8">
        <f t="shared" si="37"/>
        <v>162.77000000000001</v>
      </c>
      <c r="P470" s="14">
        <f t="shared" si="38"/>
        <v>54.089999999999975</v>
      </c>
      <c r="Q470" s="16">
        <f t="shared" si="39"/>
        <v>0.11076979787430111</v>
      </c>
    </row>
    <row r="471" spans="1:17" x14ac:dyDescent="0.2">
      <c r="A471" s="2">
        <v>45696</v>
      </c>
      <c r="B471" s="3" t="s">
        <v>776</v>
      </c>
      <c r="C471" s="3" t="s">
        <v>33</v>
      </c>
      <c r="D471" s="3" t="s">
        <v>28</v>
      </c>
      <c r="E471" s="3" t="s">
        <v>31</v>
      </c>
      <c r="F471" s="3" t="s">
        <v>16</v>
      </c>
      <c r="G471" s="3" t="s">
        <v>21</v>
      </c>
      <c r="H471" s="3">
        <v>23692</v>
      </c>
      <c r="I471" s="3">
        <v>585</v>
      </c>
      <c r="J471" s="3">
        <v>18</v>
      </c>
      <c r="K471" s="12">
        <v>797.51</v>
      </c>
      <c r="L471" s="9">
        <v>1499.09</v>
      </c>
      <c r="M471" s="16">
        <f t="shared" si="35"/>
        <v>2.4691879115313186E-2</v>
      </c>
      <c r="N471" s="18">
        <f t="shared" si="36"/>
        <v>3.0769230769230771E-2</v>
      </c>
      <c r="O471" s="8">
        <f t="shared" si="37"/>
        <v>44.306111111111107</v>
      </c>
      <c r="P471" s="14">
        <f t="shared" si="38"/>
        <v>701.57999999999993</v>
      </c>
      <c r="Q471" s="16">
        <f t="shared" si="39"/>
        <v>0.87971310704567962</v>
      </c>
    </row>
    <row r="472" spans="1:17" x14ac:dyDescent="0.2">
      <c r="A472" s="2">
        <v>45696</v>
      </c>
      <c r="B472" s="3" t="s">
        <v>777</v>
      </c>
      <c r="C472" s="3" t="s">
        <v>33</v>
      </c>
      <c r="D472" s="3" t="s">
        <v>28</v>
      </c>
      <c r="E472" s="3" t="s">
        <v>31</v>
      </c>
      <c r="F472" s="3" t="s">
        <v>29</v>
      </c>
      <c r="G472" s="3" t="s">
        <v>17</v>
      </c>
      <c r="H472" s="3">
        <v>16151</v>
      </c>
      <c r="I472" s="3">
        <v>321</v>
      </c>
      <c r="J472" s="3">
        <v>6</v>
      </c>
      <c r="K472" s="12">
        <v>382.62</v>
      </c>
      <c r="L472" s="9">
        <v>361.93</v>
      </c>
      <c r="M472" s="16">
        <f t="shared" si="35"/>
        <v>1.9874930344870288E-2</v>
      </c>
      <c r="N472" s="18">
        <f t="shared" si="36"/>
        <v>1.8691588785046728E-2</v>
      </c>
      <c r="O472" s="8">
        <f t="shared" si="37"/>
        <v>63.77</v>
      </c>
      <c r="P472" s="14">
        <f t="shared" si="38"/>
        <v>-20.689999999999998</v>
      </c>
      <c r="Q472" s="16">
        <f t="shared" si="39"/>
        <v>-5.4074538706810928E-2</v>
      </c>
    </row>
    <row r="473" spans="1:17" x14ac:dyDescent="0.2">
      <c r="A473" s="2">
        <v>45696</v>
      </c>
      <c r="B473" s="3" t="s">
        <v>308</v>
      </c>
      <c r="C473" s="3" t="s">
        <v>27</v>
      </c>
      <c r="D473" s="3" t="s">
        <v>28</v>
      </c>
      <c r="E473" s="3" t="s">
        <v>20</v>
      </c>
      <c r="F473" s="3" t="s">
        <v>47</v>
      </c>
      <c r="G473" s="3" t="s">
        <v>17</v>
      </c>
      <c r="H473" s="3">
        <v>19717</v>
      </c>
      <c r="I473" s="3">
        <v>519</v>
      </c>
      <c r="J473" s="3">
        <v>5</v>
      </c>
      <c r="K473" s="12">
        <v>641.12</v>
      </c>
      <c r="L473" s="9">
        <v>204.23</v>
      </c>
      <c r="M473" s="16">
        <f t="shared" si="35"/>
        <v>2.6322462849317847E-2</v>
      </c>
      <c r="N473" s="18">
        <f t="shared" si="36"/>
        <v>9.6339113680154135E-3</v>
      </c>
      <c r="O473" s="8">
        <f t="shared" si="37"/>
        <v>128.22399999999999</v>
      </c>
      <c r="P473" s="14">
        <f t="shared" si="38"/>
        <v>-436.89</v>
      </c>
      <c r="Q473" s="16">
        <f t="shared" si="39"/>
        <v>-0.6814480908410282</v>
      </c>
    </row>
    <row r="474" spans="1:17" x14ac:dyDescent="0.2">
      <c r="A474" s="2">
        <v>45696</v>
      </c>
      <c r="B474" s="3" t="s">
        <v>778</v>
      </c>
      <c r="C474" s="3" t="s">
        <v>71</v>
      </c>
      <c r="D474" s="3" t="s">
        <v>37</v>
      </c>
      <c r="E474" s="3" t="s">
        <v>20</v>
      </c>
      <c r="F474" s="3" t="s">
        <v>50</v>
      </c>
      <c r="G474" s="3" t="s">
        <v>21</v>
      </c>
      <c r="H474" s="3">
        <v>4000</v>
      </c>
      <c r="I474" s="3">
        <v>154</v>
      </c>
      <c r="J474" s="3">
        <v>3</v>
      </c>
      <c r="K474" s="12">
        <v>1159.48</v>
      </c>
      <c r="L474" s="9">
        <v>622.91</v>
      </c>
      <c r="M474" s="16">
        <f t="shared" si="35"/>
        <v>3.85E-2</v>
      </c>
      <c r="N474" s="18">
        <f t="shared" si="36"/>
        <v>1.948051948051948E-2</v>
      </c>
      <c r="O474" s="8">
        <f t="shared" si="37"/>
        <v>386.49333333333334</v>
      </c>
      <c r="P474" s="14">
        <f t="shared" si="38"/>
        <v>-536.57000000000005</v>
      </c>
      <c r="Q474" s="16">
        <f t="shared" si="39"/>
        <v>-0.46276779245868843</v>
      </c>
    </row>
    <row r="475" spans="1:17" x14ac:dyDescent="0.2">
      <c r="A475" s="2">
        <v>45696</v>
      </c>
      <c r="B475" s="3" t="s">
        <v>280</v>
      </c>
      <c r="C475" s="3" t="s">
        <v>110</v>
      </c>
      <c r="D475" s="3" t="s">
        <v>24</v>
      </c>
      <c r="E475" s="3" t="s">
        <v>20</v>
      </c>
      <c r="F475" s="3" t="s">
        <v>29</v>
      </c>
      <c r="G475" s="3" t="s">
        <v>17</v>
      </c>
      <c r="H475" s="3">
        <v>1471</v>
      </c>
      <c r="I475" s="3">
        <v>160</v>
      </c>
      <c r="J475" s="3">
        <v>18</v>
      </c>
      <c r="K475" s="12">
        <v>49.95</v>
      </c>
      <c r="L475" s="9">
        <v>2431.48</v>
      </c>
      <c r="M475" s="16">
        <f t="shared" si="35"/>
        <v>0.10876954452753229</v>
      </c>
      <c r="N475" s="18">
        <f t="shared" si="36"/>
        <v>0.1125</v>
      </c>
      <c r="O475" s="8">
        <f t="shared" si="37"/>
        <v>2.7750000000000004</v>
      </c>
      <c r="P475" s="14">
        <f t="shared" si="38"/>
        <v>2381.5300000000002</v>
      </c>
      <c r="Q475" s="16">
        <f t="shared" si="39"/>
        <v>47.678278278278277</v>
      </c>
    </row>
    <row r="476" spans="1:17" x14ac:dyDescent="0.2">
      <c r="A476" s="2">
        <v>45696</v>
      </c>
      <c r="B476" s="3" t="s">
        <v>779</v>
      </c>
      <c r="C476" s="3" t="s">
        <v>45</v>
      </c>
      <c r="D476" s="3" t="s">
        <v>46</v>
      </c>
      <c r="E476" s="3" t="s">
        <v>15</v>
      </c>
      <c r="F476" s="3" t="s">
        <v>16</v>
      </c>
      <c r="G476" s="3" t="s">
        <v>21</v>
      </c>
      <c r="H476" s="3">
        <v>13976</v>
      </c>
      <c r="I476" s="3">
        <v>214</v>
      </c>
      <c r="J476" s="3">
        <v>2</v>
      </c>
      <c r="K476" s="12">
        <v>225.42</v>
      </c>
      <c r="L476" s="9">
        <v>151.81</v>
      </c>
      <c r="M476" s="16">
        <f t="shared" si="35"/>
        <v>1.5311963365769891E-2</v>
      </c>
      <c r="N476" s="18">
        <f t="shared" si="36"/>
        <v>9.3457943925233638E-3</v>
      </c>
      <c r="O476" s="8">
        <f t="shared" si="37"/>
        <v>112.71</v>
      </c>
      <c r="P476" s="14">
        <f t="shared" si="38"/>
        <v>-73.609999999999985</v>
      </c>
      <c r="Q476" s="16">
        <f t="shared" si="39"/>
        <v>-0.3265460030165912</v>
      </c>
    </row>
    <row r="477" spans="1:17" x14ac:dyDescent="0.2">
      <c r="A477" s="2">
        <v>45696</v>
      </c>
      <c r="B477" s="3" t="s">
        <v>780</v>
      </c>
      <c r="C477" s="3" t="s">
        <v>36</v>
      </c>
      <c r="D477" s="3" t="s">
        <v>37</v>
      </c>
      <c r="E477" s="3" t="s">
        <v>20</v>
      </c>
      <c r="F477" s="3" t="s">
        <v>16</v>
      </c>
      <c r="G477" s="3" t="s">
        <v>17</v>
      </c>
      <c r="H477" s="3">
        <v>6962</v>
      </c>
      <c r="I477" s="3">
        <v>301</v>
      </c>
      <c r="J477" s="3">
        <v>5</v>
      </c>
      <c r="K477" s="12">
        <v>1243.8599999999999</v>
      </c>
      <c r="L477" s="9">
        <v>793.53</v>
      </c>
      <c r="M477" s="16">
        <f t="shared" si="35"/>
        <v>4.3234702671646079E-2</v>
      </c>
      <c r="N477" s="18">
        <f t="shared" si="36"/>
        <v>1.6611295681063124E-2</v>
      </c>
      <c r="O477" s="8">
        <f t="shared" si="37"/>
        <v>248.77199999999999</v>
      </c>
      <c r="P477" s="14">
        <f t="shared" si="38"/>
        <v>-450.32999999999993</v>
      </c>
      <c r="Q477" s="16">
        <f t="shared" si="39"/>
        <v>-0.36204235203318696</v>
      </c>
    </row>
    <row r="478" spans="1:17" x14ac:dyDescent="0.2">
      <c r="A478" s="2">
        <v>45696</v>
      </c>
      <c r="B478" s="3" t="s">
        <v>781</v>
      </c>
      <c r="C478" s="3" t="s">
        <v>33</v>
      </c>
      <c r="D478" s="3" t="s">
        <v>28</v>
      </c>
      <c r="E478" s="3" t="s">
        <v>20</v>
      </c>
      <c r="F478" s="3" t="s">
        <v>29</v>
      </c>
      <c r="G478" s="3" t="s">
        <v>21</v>
      </c>
      <c r="H478" s="3">
        <v>18226</v>
      </c>
      <c r="I478" s="3">
        <v>551</v>
      </c>
      <c r="J478" s="3">
        <v>9</v>
      </c>
      <c r="K478" s="12">
        <v>641.16</v>
      </c>
      <c r="L478" s="9">
        <v>643.38</v>
      </c>
      <c r="M478" s="16">
        <f t="shared" si="35"/>
        <v>3.0231537364204981E-2</v>
      </c>
      <c r="N478" s="18">
        <f t="shared" si="36"/>
        <v>1.6333938294010888E-2</v>
      </c>
      <c r="O478" s="8">
        <f t="shared" si="37"/>
        <v>71.239999999999995</v>
      </c>
      <c r="P478" s="14">
        <f t="shared" si="38"/>
        <v>2.2200000000000273</v>
      </c>
      <c r="Q478" s="16">
        <f t="shared" si="39"/>
        <v>3.4624742653940163E-3</v>
      </c>
    </row>
    <row r="479" spans="1:17" x14ac:dyDescent="0.2">
      <c r="A479" s="2">
        <v>45697</v>
      </c>
      <c r="B479" s="3" t="s">
        <v>406</v>
      </c>
      <c r="C479" s="3" t="s">
        <v>120</v>
      </c>
      <c r="D479" s="3" t="s">
        <v>14</v>
      </c>
      <c r="E479" s="3" t="s">
        <v>31</v>
      </c>
      <c r="F479" s="3" t="s">
        <v>16</v>
      </c>
      <c r="G479" s="3" t="s">
        <v>21</v>
      </c>
      <c r="H479" s="3">
        <v>9112</v>
      </c>
      <c r="I479" s="3">
        <v>498</v>
      </c>
      <c r="J479" s="3">
        <v>38</v>
      </c>
      <c r="K479" s="12">
        <v>786.31</v>
      </c>
      <c r="L479" s="9">
        <v>4057.61</v>
      </c>
      <c r="M479" s="16">
        <f t="shared" si="35"/>
        <v>5.4653204565408252E-2</v>
      </c>
      <c r="N479" s="18">
        <f t="shared" si="36"/>
        <v>7.6305220883534142E-2</v>
      </c>
      <c r="O479" s="8">
        <f t="shared" si="37"/>
        <v>20.692368421052631</v>
      </c>
      <c r="P479" s="14">
        <f t="shared" si="38"/>
        <v>3271.3</v>
      </c>
      <c r="Q479" s="16">
        <f t="shared" si="39"/>
        <v>4.1603184494664962</v>
      </c>
    </row>
    <row r="480" spans="1:17" x14ac:dyDescent="0.2">
      <c r="A480" s="2">
        <v>45697</v>
      </c>
      <c r="B480" s="3" t="s">
        <v>254</v>
      </c>
      <c r="C480" s="3" t="s">
        <v>27</v>
      </c>
      <c r="D480" s="3" t="s">
        <v>28</v>
      </c>
      <c r="E480" s="3" t="s">
        <v>20</v>
      </c>
      <c r="F480" s="3" t="s">
        <v>50</v>
      </c>
      <c r="G480" s="3" t="s">
        <v>17</v>
      </c>
      <c r="H480" s="3">
        <v>31563</v>
      </c>
      <c r="I480" s="3">
        <v>760</v>
      </c>
      <c r="J480" s="3">
        <v>9</v>
      </c>
      <c r="K480" s="12">
        <v>1102.45</v>
      </c>
      <c r="L480" s="9">
        <v>542.07000000000005</v>
      </c>
      <c r="M480" s="16">
        <f t="shared" si="35"/>
        <v>2.4078826474036055E-2</v>
      </c>
      <c r="N480" s="18">
        <f t="shared" si="36"/>
        <v>1.1842105263157895E-2</v>
      </c>
      <c r="O480" s="8">
        <f t="shared" si="37"/>
        <v>122.49444444444445</v>
      </c>
      <c r="P480" s="14">
        <f t="shared" si="38"/>
        <v>-560.38</v>
      </c>
      <c r="Q480" s="16">
        <f t="shared" si="39"/>
        <v>-0.50830423148442105</v>
      </c>
    </row>
    <row r="481" spans="1:17" x14ac:dyDescent="0.2">
      <c r="A481" s="2">
        <v>45697</v>
      </c>
      <c r="B481" s="3" t="s">
        <v>782</v>
      </c>
      <c r="C481" s="3" t="s">
        <v>23</v>
      </c>
      <c r="D481" s="3" t="s">
        <v>24</v>
      </c>
      <c r="E481" s="3" t="s">
        <v>15</v>
      </c>
      <c r="F481" s="3" t="s">
        <v>29</v>
      </c>
      <c r="G481" s="3" t="s">
        <v>17</v>
      </c>
      <c r="H481" s="3">
        <v>3597</v>
      </c>
      <c r="I481" s="3">
        <v>403</v>
      </c>
      <c r="J481" s="3">
        <v>28</v>
      </c>
      <c r="K481" s="12">
        <v>111.48</v>
      </c>
      <c r="L481" s="9">
        <v>3485.9</v>
      </c>
      <c r="M481" s="16">
        <f t="shared" si="35"/>
        <v>0.11203780928551571</v>
      </c>
      <c r="N481" s="18">
        <f t="shared" si="36"/>
        <v>6.9478908188585611E-2</v>
      </c>
      <c r="O481" s="8">
        <f t="shared" si="37"/>
        <v>3.9814285714285718</v>
      </c>
      <c r="P481" s="14">
        <f t="shared" si="38"/>
        <v>3374.42</v>
      </c>
      <c r="Q481" s="16">
        <f t="shared" si="39"/>
        <v>30.26928597057768</v>
      </c>
    </row>
    <row r="482" spans="1:17" x14ac:dyDescent="0.2">
      <c r="A482" s="2">
        <v>45697</v>
      </c>
      <c r="B482" s="3" t="s">
        <v>399</v>
      </c>
      <c r="C482" s="3" t="s">
        <v>156</v>
      </c>
      <c r="D482" s="3" t="s">
        <v>46</v>
      </c>
      <c r="E482" s="3" t="s">
        <v>31</v>
      </c>
      <c r="F482" s="3" t="s">
        <v>47</v>
      </c>
      <c r="G482" s="3" t="s">
        <v>17</v>
      </c>
      <c r="H482" s="3">
        <v>10075</v>
      </c>
      <c r="I482" s="3">
        <v>305</v>
      </c>
      <c r="J482" s="3">
        <v>13</v>
      </c>
      <c r="K482" s="12">
        <v>521.39</v>
      </c>
      <c r="L482" s="9">
        <v>1330.88</v>
      </c>
      <c r="M482" s="16">
        <f t="shared" si="35"/>
        <v>3.0272952853598014E-2</v>
      </c>
      <c r="N482" s="18">
        <f t="shared" si="36"/>
        <v>4.2622950819672129E-2</v>
      </c>
      <c r="O482" s="8">
        <f t="shared" si="37"/>
        <v>40.106923076923074</v>
      </c>
      <c r="P482" s="14">
        <f t="shared" si="38"/>
        <v>809.49000000000012</v>
      </c>
      <c r="Q482" s="16">
        <f t="shared" si="39"/>
        <v>1.5525614223517907</v>
      </c>
    </row>
    <row r="483" spans="1:17" x14ac:dyDescent="0.2">
      <c r="A483" s="2">
        <v>45697</v>
      </c>
      <c r="B483" s="3" t="s">
        <v>224</v>
      </c>
      <c r="C483" s="3" t="s">
        <v>19</v>
      </c>
      <c r="D483" s="3" t="s">
        <v>14</v>
      </c>
      <c r="E483" s="3" t="s">
        <v>15</v>
      </c>
      <c r="F483" s="3" t="s">
        <v>34</v>
      </c>
      <c r="G483" s="3" t="s">
        <v>17</v>
      </c>
      <c r="H483" s="3">
        <v>9315</v>
      </c>
      <c r="I483" s="3">
        <v>423</v>
      </c>
      <c r="J483" s="3">
        <v>12</v>
      </c>
      <c r="K483" s="12">
        <v>801.25</v>
      </c>
      <c r="L483" s="9">
        <v>992.52</v>
      </c>
      <c r="M483" s="16">
        <f t="shared" si="35"/>
        <v>4.5410628019323669E-2</v>
      </c>
      <c r="N483" s="18">
        <f t="shared" si="36"/>
        <v>2.8368794326241134E-2</v>
      </c>
      <c r="O483" s="8">
        <f t="shared" si="37"/>
        <v>66.770833333333329</v>
      </c>
      <c r="P483" s="14">
        <f t="shared" si="38"/>
        <v>191.26999999999998</v>
      </c>
      <c r="Q483" s="16">
        <f t="shared" si="39"/>
        <v>0.23871450858034318</v>
      </c>
    </row>
    <row r="484" spans="1:17" x14ac:dyDescent="0.2">
      <c r="A484" s="2">
        <v>45697</v>
      </c>
      <c r="B484" s="3" t="s">
        <v>195</v>
      </c>
      <c r="C484" s="3" t="s">
        <v>71</v>
      </c>
      <c r="D484" s="3" t="s">
        <v>37</v>
      </c>
      <c r="E484" s="3" t="s">
        <v>20</v>
      </c>
      <c r="F484" s="3" t="s">
        <v>50</v>
      </c>
      <c r="G484" s="3" t="s">
        <v>17</v>
      </c>
      <c r="H484" s="3">
        <v>5427</v>
      </c>
      <c r="I484" s="3">
        <v>117</v>
      </c>
      <c r="J484" s="3">
        <v>3</v>
      </c>
      <c r="K484" s="12">
        <v>716.31</v>
      </c>
      <c r="L484" s="9">
        <v>580.78</v>
      </c>
      <c r="M484" s="16">
        <f t="shared" si="35"/>
        <v>2.1558872305140961E-2</v>
      </c>
      <c r="N484" s="18">
        <f t="shared" si="36"/>
        <v>2.564102564102564E-2</v>
      </c>
      <c r="O484" s="8">
        <f t="shared" si="37"/>
        <v>238.76999999999998</v>
      </c>
      <c r="P484" s="14">
        <f t="shared" si="38"/>
        <v>-135.52999999999997</v>
      </c>
      <c r="Q484" s="16">
        <f t="shared" si="39"/>
        <v>-0.18920579078890423</v>
      </c>
    </row>
    <row r="485" spans="1:17" x14ac:dyDescent="0.2">
      <c r="A485" s="2">
        <v>45697</v>
      </c>
      <c r="B485" s="3" t="s">
        <v>428</v>
      </c>
      <c r="C485" s="3" t="s">
        <v>27</v>
      </c>
      <c r="D485" s="3" t="s">
        <v>28</v>
      </c>
      <c r="E485" s="3" t="s">
        <v>20</v>
      </c>
      <c r="F485" s="3" t="s">
        <v>16</v>
      </c>
      <c r="G485" s="3" t="s">
        <v>21</v>
      </c>
      <c r="H485" s="3">
        <v>31320</v>
      </c>
      <c r="I485" s="3">
        <v>925</v>
      </c>
      <c r="J485" s="3">
        <v>14</v>
      </c>
      <c r="K485" s="12">
        <v>1243.6199999999999</v>
      </c>
      <c r="L485" s="9">
        <v>849.82</v>
      </c>
      <c r="M485" s="16">
        <f t="shared" si="35"/>
        <v>2.9533844189016605E-2</v>
      </c>
      <c r="N485" s="18">
        <f t="shared" si="36"/>
        <v>1.5135135135135135E-2</v>
      </c>
      <c r="O485" s="8">
        <f t="shared" si="37"/>
        <v>88.83</v>
      </c>
      <c r="P485" s="14">
        <f t="shared" si="38"/>
        <v>-393.79999999999984</v>
      </c>
      <c r="Q485" s="16">
        <f t="shared" si="39"/>
        <v>-0.31665621331274818</v>
      </c>
    </row>
    <row r="486" spans="1:17" x14ac:dyDescent="0.2">
      <c r="A486" s="2">
        <v>45697</v>
      </c>
      <c r="B486" s="3" t="s">
        <v>464</v>
      </c>
      <c r="C486" s="3" t="s">
        <v>36</v>
      </c>
      <c r="D486" s="3" t="s">
        <v>37</v>
      </c>
      <c r="E486" s="3" t="s">
        <v>31</v>
      </c>
      <c r="F486" s="3" t="s">
        <v>34</v>
      </c>
      <c r="G486" s="3" t="s">
        <v>21</v>
      </c>
      <c r="H486" s="3">
        <v>3173</v>
      </c>
      <c r="I486" s="3">
        <v>81</v>
      </c>
      <c r="J486" s="3">
        <v>2</v>
      </c>
      <c r="K486" s="12">
        <v>404.5</v>
      </c>
      <c r="L486" s="9">
        <v>251.65</v>
      </c>
      <c r="M486" s="16">
        <f t="shared" si="35"/>
        <v>2.552789158525055E-2</v>
      </c>
      <c r="N486" s="18">
        <f t="shared" si="36"/>
        <v>2.4691358024691357E-2</v>
      </c>
      <c r="O486" s="8">
        <f t="shared" si="37"/>
        <v>202.25</v>
      </c>
      <c r="P486" s="14">
        <f t="shared" si="38"/>
        <v>-152.85</v>
      </c>
      <c r="Q486" s="16">
        <f t="shared" si="39"/>
        <v>-0.37787391841779971</v>
      </c>
    </row>
    <row r="487" spans="1:17" x14ac:dyDescent="0.2">
      <c r="A487" s="2">
        <v>45697</v>
      </c>
      <c r="B487" s="3" t="s">
        <v>783</v>
      </c>
      <c r="C487" s="3" t="s">
        <v>33</v>
      </c>
      <c r="D487" s="3" t="s">
        <v>28</v>
      </c>
      <c r="E487" s="3" t="s">
        <v>31</v>
      </c>
      <c r="F487" s="3" t="s">
        <v>29</v>
      </c>
      <c r="G487" s="3" t="s">
        <v>17</v>
      </c>
      <c r="H487" s="3">
        <v>24692</v>
      </c>
      <c r="I487" s="3">
        <v>751</v>
      </c>
      <c r="J487" s="3">
        <v>11</v>
      </c>
      <c r="K487" s="12">
        <v>749.61</v>
      </c>
      <c r="L487" s="9">
        <v>612.47</v>
      </c>
      <c r="M487" s="16">
        <f t="shared" si="35"/>
        <v>3.0414709217560343E-2</v>
      </c>
      <c r="N487" s="18">
        <f t="shared" si="36"/>
        <v>1.4647137150466045E-2</v>
      </c>
      <c r="O487" s="8">
        <f t="shared" si="37"/>
        <v>68.146363636363631</v>
      </c>
      <c r="P487" s="14">
        <f t="shared" si="38"/>
        <v>-137.13999999999999</v>
      </c>
      <c r="Q487" s="16">
        <f t="shared" si="39"/>
        <v>-0.182948466535932</v>
      </c>
    </row>
    <row r="488" spans="1:17" x14ac:dyDescent="0.2">
      <c r="A488" s="2">
        <v>45697</v>
      </c>
      <c r="B488" s="3" t="s">
        <v>40</v>
      </c>
      <c r="C488" s="3" t="s">
        <v>43</v>
      </c>
      <c r="D488" s="3" t="s">
        <v>37</v>
      </c>
      <c r="E488" s="3" t="s">
        <v>31</v>
      </c>
      <c r="F488" s="3" t="s">
        <v>16</v>
      </c>
      <c r="G488" s="3" t="s">
        <v>17</v>
      </c>
      <c r="H488" s="3">
        <v>5342</v>
      </c>
      <c r="I488" s="3">
        <v>198</v>
      </c>
      <c r="J488" s="3">
        <v>6</v>
      </c>
      <c r="K488" s="12">
        <v>1132</v>
      </c>
      <c r="L488" s="9">
        <v>982.3</v>
      </c>
      <c r="M488" s="16">
        <f t="shared" si="35"/>
        <v>3.7064769749157622E-2</v>
      </c>
      <c r="N488" s="18">
        <f t="shared" si="36"/>
        <v>3.0303030303030304E-2</v>
      </c>
      <c r="O488" s="8">
        <f t="shared" si="37"/>
        <v>188.66666666666666</v>
      </c>
      <c r="P488" s="14">
        <f t="shared" si="38"/>
        <v>-149.70000000000005</v>
      </c>
      <c r="Q488" s="16">
        <f t="shared" si="39"/>
        <v>-0.132243816254417</v>
      </c>
    </row>
    <row r="489" spans="1:17" x14ac:dyDescent="0.2">
      <c r="A489" s="2">
        <v>45697</v>
      </c>
      <c r="B489" s="3" t="s">
        <v>784</v>
      </c>
      <c r="C489" s="3" t="s">
        <v>23</v>
      </c>
      <c r="D489" s="3" t="s">
        <v>24</v>
      </c>
      <c r="E489" s="3" t="s">
        <v>20</v>
      </c>
      <c r="F489" s="3" t="s">
        <v>16</v>
      </c>
      <c r="G489" s="3" t="s">
        <v>17</v>
      </c>
      <c r="H489" s="3">
        <v>1582</v>
      </c>
      <c r="I489" s="3">
        <v>206</v>
      </c>
      <c r="J489" s="3">
        <v>18</v>
      </c>
      <c r="K489" s="12">
        <v>0</v>
      </c>
      <c r="L489" s="9">
        <v>1794.94</v>
      </c>
      <c r="M489" s="16">
        <f t="shared" si="35"/>
        <v>0.13021491782553729</v>
      </c>
      <c r="N489" s="18">
        <f t="shared" si="36"/>
        <v>8.7378640776699032E-2</v>
      </c>
      <c r="O489" s="8">
        <f t="shared" si="37"/>
        <v>0</v>
      </c>
      <c r="P489" s="14">
        <f t="shared" si="38"/>
        <v>1794.94</v>
      </c>
      <c r="Q489" s="16">
        <f t="shared" si="39"/>
        <v>0</v>
      </c>
    </row>
    <row r="490" spans="1:17" x14ac:dyDescent="0.2">
      <c r="A490" s="2">
        <v>45697</v>
      </c>
      <c r="B490" s="3" t="s">
        <v>277</v>
      </c>
      <c r="C490" s="3" t="s">
        <v>43</v>
      </c>
      <c r="D490" s="3" t="s">
        <v>37</v>
      </c>
      <c r="E490" s="3" t="s">
        <v>31</v>
      </c>
      <c r="F490" s="3" t="s">
        <v>50</v>
      </c>
      <c r="G490" s="3" t="s">
        <v>17</v>
      </c>
      <c r="H490" s="3">
        <v>5915</v>
      </c>
      <c r="I490" s="3">
        <v>195</v>
      </c>
      <c r="J490" s="3">
        <v>5</v>
      </c>
      <c r="K490" s="12">
        <v>1015.03</v>
      </c>
      <c r="L490" s="9">
        <v>551.53</v>
      </c>
      <c r="M490" s="16">
        <f t="shared" si="35"/>
        <v>3.2967032967032968E-2</v>
      </c>
      <c r="N490" s="18">
        <f t="shared" si="36"/>
        <v>2.564102564102564E-2</v>
      </c>
      <c r="O490" s="8">
        <f t="shared" si="37"/>
        <v>203.006</v>
      </c>
      <c r="P490" s="14">
        <f t="shared" si="38"/>
        <v>-463.5</v>
      </c>
      <c r="Q490" s="16">
        <f t="shared" si="39"/>
        <v>-0.45663674965271961</v>
      </c>
    </row>
    <row r="491" spans="1:17" x14ac:dyDescent="0.2">
      <c r="A491" s="2">
        <v>45697</v>
      </c>
      <c r="B491" s="3" t="s">
        <v>785</v>
      </c>
      <c r="C491" s="3" t="s">
        <v>45</v>
      </c>
      <c r="D491" s="3" t="s">
        <v>46</v>
      </c>
      <c r="E491" s="3" t="s">
        <v>15</v>
      </c>
      <c r="F491" s="3" t="s">
        <v>16</v>
      </c>
      <c r="G491" s="3" t="s">
        <v>21</v>
      </c>
      <c r="H491" s="3">
        <v>9768</v>
      </c>
      <c r="I491" s="3">
        <v>351</v>
      </c>
      <c r="J491" s="3">
        <v>7</v>
      </c>
      <c r="K491" s="12">
        <v>583.37</v>
      </c>
      <c r="L491" s="9">
        <v>662.07</v>
      </c>
      <c r="M491" s="16">
        <f t="shared" si="35"/>
        <v>3.5933660933660933E-2</v>
      </c>
      <c r="N491" s="18">
        <f t="shared" si="36"/>
        <v>1.9943019943019943E-2</v>
      </c>
      <c r="O491" s="8">
        <f t="shared" si="37"/>
        <v>83.338571428571427</v>
      </c>
      <c r="P491" s="14">
        <f t="shared" si="38"/>
        <v>78.700000000000045</v>
      </c>
      <c r="Q491" s="16">
        <f t="shared" si="39"/>
        <v>0.13490580592077078</v>
      </c>
    </row>
    <row r="492" spans="1:17" x14ac:dyDescent="0.2">
      <c r="A492" s="2">
        <v>45697</v>
      </c>
      <c r="B492" s="3" t="s">
        <v>396</v>
      </c>
      <c r="C492" s="3" t="s">
        <v>71</v>
      </c>
      <c r="D492" s="3" t="s">
        <v>37</v>
      </c>
      <c r="E492" s="3" t="s">
        <v>20</v>
      </c>
      <c r="F492" s="3" t="s">
        <v>47</v>
      </c>
      <c r="G492" s="3" t="s">
        <v>17</v>
      </c>
      <c r="H492" s="3">
        <v>2755</v>
      </c>
      <c r="I492" s="3">
        <v>151</v>
      </c>
      <c r="J492" s="3">
        <v>3</v>
      </c>
      <c r="K492" s="12">
        <v>1017.71</v>
      </c>
      <c r="L492" s="9">
        <v>491.76</v>
      </c>
      <c r="M492" s="16">
        <f t="shared" si="35"/>
        <v>5.4809437386569876E-2</v>
      </c>
      <c r="N492" s="18">
        <f t="shared" si="36"/>
        <v>1.9867549668874173E-2</v>
      </c>
      <c r="O492" s="8">
        <f t="shared" si="37"/>
        <v>339.23666666666668</v>
      </c>
      <c r="P492" s="14">
        <f t="shared" si="38"/>
        <v>-525.95000000000005</v>
      </c>
      <c r="Q492" s="16">
        <f t="shared" si="39"/>
        <v>-0.51679751599178547</v>
      </c>
    </row>
    <row r="493" spans="1:17" x14ac:dyDescent="0.2">
      <c r="A493" s="2">
        <v>45697</v>
      </c>
      <c r="B493" s="3" t="s">
        <v>786</v>
      </c>
      <c r="C493" s="3" t="s">
        <v>110</v>
      </c>
      <c r="D493" s="3" t="s">
        <v>24</v>
      </c>
      <c r="E493" s="3" t="s">
        <v>15</v>
      </c>
      <c r="F493" s="3" t="s">
        <v>16</v>
      </c>
      <c r="G493" s="3" t="s">
        <v>17</v>
      </c>
      <c r="H493" s="3">
        <v>1667</v>
      </c>
      <c r="I493" s="3">
        <v>178</v>
      </c>
      <c r="J493" s="3">
        <v>11</v>
      </c>
      <c r="K493" s="12">
        <v>74.819999999999993</v>
      </c>
      <c r="L493" s="9">
        <v>1063.78</v>
      </c>
      <c r="M493" s="16">
        <f t="shared" si="35"/>
        <v>0.10677864427114576</v>
      </c>
      <c r="N493" s="18">
        <f t="shared" si="36"/>
        <v>6.1797752808988762E-2</v>
      </c>
      <c r="O493" s="8">
        <f t="shared" si="37"/>
        <v>6.8018181818181809</v>
      </c>
      <c r="P493" s="14">
        <f t="shared" si="38"/>
        <v>988.96</v>
      </c>
      <c r="Q493" s="16">
        <f t="shared" si="39"/>
        <v>13.217856188184978</v>
      </c>
    </row>
    <row r="494" spans="1:17" x14ac:dyDescent="0.2">
      <c r="A494" s="2">
        <v>45698</v>
      </c>
      <c r="B494" s="3" t="s">
        <v>282</v>
      </c>
      <c r="C494" s="3" t="s">
        <v>43</v>
      </c>
      <c r="D494" s="3" t="s">
        <v>37</v>
      </c>
      <c r="E494" s="3" t="s">
        <v>31</v>
      </c>
      <c r="F494" s="3" t="s">
        <v>47</v>
      </c>
      <c r="G494" s="3" t="s">
        <v>17</v>
      </c>
      <c r="H494" s="3">
        <v>6804</v>
      </c>
      <c r="I494" s="3">
        <v>352</v>
      </c>
      <c r="J494" s="3">
        <v>11</v>
      </c>
      <c r="K494" s="12">
        <v>2398.88</v>
      </c>
      <c r="L494" s="9">
        <v>1702.39</v>
      </c>
      <c r="M494" s="16">
        <f t="shared" si="35"/>
        <v>5.1734273956496178E-2</v>
      </c>
      <c r="N494" s="18">
        <f t="shared" si="36"/>
        <v>3.125E-2</v>
      </c>
      <c r="O494" s="8">
        <f t="shared" si="37"/>
        <v>218.08</v>
      </c>
      <c r="P494" s="14">
        <f t="shared" si="38"/>
        <v>-696.49</v>
      </c>
      <c r="Q494" s="16">
        <f t="shared" si="39"/>
        <v>-0.29033965850730342</v>
      </c>
    </row>
    <row r="495" spans="1:17" x14ac:dyDescent="0.2">
      <c r="A495" s="2">
        <v>45698</v>
      </c>
      <c r="B495" s="3" t="s">
        <v>295</v>
      </c>
      <c r="C495" s="3" t="s">
        <v>13</v>
      </c>
      <c r="D495" s="3" t="s">
        <v>14</v>
      </c>
      <c r="E495" s="3" t="s">
        <v>20</v>
      </c>
      <c r="F495" s="3" t="s">
        <v>29</v>
      </c>
      <c r="G495" s="3" t="s">
        <v>21</v>
      </c>
      <c r="H495" s="3">
        <v>11889</v>
      </c>
      <c r="I495" s="3">
        <v>624</v>
      </c>
      <c r="J495" s="3">
        <v>30</v>
      </c>
      <c r="K495" s="12">
        <v>1425.72</v>
      </c>
      <c r="L495" s="9">
        <v>3065.32</v>
      </c>
      <c r="M495" s="16">
        <f t="shared" si="35"/>
        <v>5.2485490789805703E-2</v>
      </c>
      <c r="N495" s="18">
        <f t="shared" si="36"/>
        <v>4.807692307692308E-2</v>
      </c>
      <c r="O495" s="8">
        <f t="shared" si="37"/>
        <v>47.524000000000001</v>
      </c>
      <c r="P495" s="14">
        <f t="shared" si="38"/>
        <v>1639.6000000000001</v>
      </c>
      <c r="Q495" s="16">
        <f t="shared" si="39"/>
        <v>1.1500154307998767</v>
      </c>
    </row>
    <row r="496" spans="1:17" x14ac:dyDescent="0.2">
      <c r="A496" s="2">
        <v>45698</v>
      </c>
      <c r="B496" s="3" t="s">
        <v>264</v>
      </c>
      <c r="C496" s="3" t="s">
        <v>49</v>
      </c>
      <c r="D496" s="3" t="s">
        <v>46</v>
      </c>
      <c r="E496" s="3" t="s">
        <v>20</v>
      </c>
      <c r="F496" s="3" t="s">
        <v>16</v>
      </c>
      <c r="G496" s="3" t="s">
        <v>21</v>
      </c>
      <c r="H496" s="3">
        <v>14818</v>
      </c>
      <c r="I496" s="3">
        <v>385</v>
      </c>
      <c r="J496" s="3">
        <v>7</v>
      </c>
      <c r="K496" s="12">
        <v>635.08000000000004</v>
      </c>
      <c r="L496" s="9">
        <v>679.08</v>
      </c>
      <c r="M496" s="16">
        <f t="shared" si="35"/>
        <v>2.598191388851397E-2</v>
      </c>
      <c r="N496" s="18">
        <f t="shared" si="36"/>
        <v>1.8181818181818181E-2</v>
      </c>
      <c r="O496" s="8">
        <f t="shared" si="37"/>
        <v>90.72571428571429</v>
      </c>
      <c r="P496" s="14">
        <f t="shared" si="38"/>
        <v>44</v>
      </c>
      <c r="Q496" s="16">
        <f t="shared" si="39"/>
        <v>6.9282610064873712E-2</v>
      </c>
    </row>
    <row r="497" spans="1:17" x14ac:dyDescent="0.2">
      <c r="A497" s="2">
        <v>45698</v>
      </c>
      <c r="B497" s="3" t="s">
        <v>296</v>
      </c>
      <c r="C497" s="3" t="s">
        <v>58</v>
      </c>
      <c r="D497" s="3" t="s">
        <v>37</v>
      </c>
      <c r="E497" s="3" t="s">
        <v>20</v>
      </c>
      <c r="F497" s="3" t="s">
        <v>47</v>
      </c>
      <c r="G497" s="3" t="s">
        <v>21</v>
      </c>
      <c r="H497" s="3">
        <v>5052</v>
      </c>
      <c r="I497" s="3">
        <v>187</v>
      </c>
      <c r="J497" s="3">
        <v>4</v>
      </c>
      <c r="K497" s="12">
        <v>1308.92</v>
      </c>
      <c r="L497" s="9">
        <v>451.11</v>
      </c>
      <c r="M497" s="16">
        <f t="shared" si="35"/>
        <v>3.7015043547110056E-2</v>
      </c>
      <c r="N497" s="18">
        <f t="shared" si="36"/>
        <v>2.1390374331550801E-2</v>
      </c>
      <c r="O497" s="8">
        <f t="shared" si="37"/>
        <v>327.23</v>
      </c>
      <c r="P497" s="14">
        <f t="shared" si="38"/>
        <v>-857.81000000000006</v>
      </c>
      <c r="Q497" s="16">
        <f t="shared" si="39"/>
        <v>-0.65535708828652628</v>
      </c>
    </row>
    <row r="498" spans="1:17" x14ac:dyDescent="0.2">
      <c r="A498" s="2">
        <v>45698</v>
      </c>
      <c r="B498" s="3" t="s">
        <v>787</v>
      </c>
      <c r="C498" s="3" t="s">
        <v>45</v>
      </c>
      <c r="D498" s="3" t="s">
        <v>46</v>
      </c>
      <c r="E498" s="3" t="s">
        <v>31</v>
      </c>
      <c r="F498" s="3" t="s">
        <v>34</v>
      </c>
      <c r="G498" s="3" t="s">
        <v>21</v>
      </c>
      <c r="H498" s="3">
        <v>13510</v>
      </c>
      <c r="I498" s="3">
        <v>443</v>
      </c>
      <c r="J498" s="3">
        <v>19</v>
      </c>
      <c r="K498" s="12">
        <v>538.77</v>
      </c>
      <c r="L498" s="9">
        <v>1859.96</v>
      </c>
      <c r="M498" s="16">
        <f t="shared" si="35"/>
        <v>3.2790525536639525E-2</v>
      </c>
      <c r="N498" s="18">
        <f t="shared" si="36"/>
        <v>4.2889390519187359E-2</v>
      </c>
      <c r="O498" s="8">
        <f t="shared" si="37"/>
        <v>28.356315789473683</v>
      </c>
      <c r="P498" s="14">
        <f t="shared" si="38"/>
        <v>1321.19</v>
      </c>
      <c r="Q498" s="16">
        <f t="shared" si="39"/>
        <v>2.4522337917849919</v>
      </c>
    </row>
    <row r="499" spans="1:17" x14ac:dyDescent="0.2">
      <c r="A499" s="2">
        <v>45698</v>
      </c>
      <c r="B499" s="3" t="s">
        <v>788</v>
      </c>
      <c r="C499" s="3" t="s">
        <v>49</v>
      </c>
      <c r="D499" s="3" t="s">
        <v>46</v>
      </c>
      <c r="E499" s="3" t="s">
        <v>20</v>
      </c>
      <c r="F499" s="3" t="s">
        <v>34</v>
      </c>
      <c r="G499" s="3" t="s">
        <v>25</v>
      </c>
      <c r="H499" s="3">
        <v>8082</v>
      </c>
      <c r="I499" s="3">
        <v>304</v>
      </c>
      <c r="J499" s="3">
        <v>6</v>
      </c>
      <c r="K499" s="12">
        <v>353.36</v>
      </c>
      <c r="L499" s="9">
        <v>350.52</v>
      </c>
      <c r="M499" s="16">
        <f t="shared" si="35"/>
        <v>3.761445186834942E-2</v>
      </c>
      <c r="N499" s="18">
        <f t="shared" si="36"/>
        <v>1.9736842105263157E-2</v>
      </c>
      <c r="O499" s="8">
        <f t="shared" si="37"/>
        <v>58.893333333333338</v>
      </c>
      <c r="P499" s="14">
        <f t="shared" si="38"/>
        <v>-2.8400000000000318</v>
      </c>
      <c r="Q499" s="16">
        <f t="shared" si="39"/>
        <v>-8.0371292732624843E-3</v>
      </c>
    </row>
    <row r="500" spans="1:17" x14ac:dyDescent="0.2">
      <c r="A500" s="2">
        <v>45698</v>
      </c>
      <c r="B500" s="3" t="s">
        <v>311</v>
      </c>
      <c r="C500" s="3" t="s">
        <v>156</v>
      </c>
      <c r="D500" s="3" t="s">
        <v>46</v>
      </c>
      <c r="E500" s="3" t="s">
        <v>15</v>
      </c>
      <c r="F500" s="3" t="s">
        <v>47</v>
      </c>
      <c r="G500" s="3" t="s">
        <v>21</v>
      </c>
      <c r="H500" s="3">
        <v>17633</v>
      </c>
      <c r="I500" s="3">
        <v>547</v>
      </c>
      <c r="J500" s="3">
        <v>10</v>
      </c>
      <c r="K500" s="12">
        <v>881.48</v>
      </c>
      <c r="L500" s="9">
        <v>573.58000000000004</v>
      </c>
      <c r="M500" s="16">
        <f t="shared" si="35"/>
        <v>3.1021380366358531E-2</v>
      </c>
      <c r="N500" s="18">
        <f t="shared" si="36"/>
        <v>1.8281535648994516E-2</v>
      </c>
      <c r="O500" s="8">
        <f t="shared" si="37"/>
        <v>88.147999999999996</v>
      </c>
      <c r="P500" s="14">
        <f t="shared" si="38"/>
        <v>-307.89999999999998</v>
      </c>
      <c r="Q500" s="16">
        <f t="shared" si="39"/>
        <v>-0.34929890638471656</v>
      </c>
    </row>
    <row r="501" spans="1:17" x14ac:dyDescent="0.2">
      <c r="A501" s="2">
        <v>45698</v>
      </c>
      <c r="B501" s="3" t="s">
        <v>286</v>
      </c>
      <c r="C501" s="3" t="s">
        <v>45</v>
      </c>
      <c r="D501" s="3" t="s">
        <v>46</v>
      </c>
      <c r="E501" s="3" t="s">
        <v>20</v>
      </c>
      <c r="F501" s="3" t="s">
        <v>16</v>
      </c>
      <c r="G501" s="3" t="s">
        <v>25</v>
      </c>
      <c r="H501" s="3">
        <v>12179</v>
      </c>
      <c r="I501" s="3">
        <v>463</v>
      </c>
      <c r="J501" s="3">
        <v>12</v>
      </c>
      <c r="K501" s="12">
        <v>447.63</v>
      </c>
      <c r="L501" s="9">
        <v>1049.82</v>
      </c>
      <c r="M501" s="16">
        <f t="shared" si="35"/>
        <v>3.8016257492404962E-2</v>
      </c>
      <c r="N501" s="18">
        <f t="shared" si="36"/>
        <v>2.591792656587473E-2</v>
      </c>
      <c r="O501" s="8">
        <f t="shared" si="37"/>
        <v>37.302500000000002</v>
      </c>
      <c r="P501" s="14">
        <f t="shared" si="38"/>
        <v>602.18999999999994</v>
      </c>
      <c r="Q501" s="16">
        <f t="shared" si="39"/>
        <v>1.3452851685543863</v>
      </c>
    </row>
    <row r="502" spans="1:17" x14ac:dyDescent="0.2">
      <c r="A502" s="2">
        <v>45698</v>
      </c>
      <c r="B502" s="3" t="s">
        <v>118</v>
      </c>
      <c r="C502" s="3" t="s">
        <v>33</v>
      </c>
      <c r="D502" s="3" t="s">
        <v>28</v>
      </c>
      <c r="E502" s="3" t="s">
        <v>20</v>
      </c>
      <c r="F502" s="3" t="s">
        <v>47</v>
      </c>
      <c r="G502" s="3" t="s">
        <v>17</v>
      </c>
      <c r="H502" s="3">
        <v>34303</v>
      </c>
      <c r="I502" s="3">
        <v>671</v>
      </c>
      <c r="J502" s="3">
        <v>8</v>
      </c>
      <c r="K502" s="12">
        <v>871.34</v>
      </c>
      <c r="L502" s="9">
        <v>323.43</v>
      </c>
      <c r="M502" s="16">
        <f t="shared" si="35"/>
        <v>1.9560971343614262E-2</v>
      </c>
      <c r="N502" s="18">
        <f t="shared" si="36"/>
        <v>1.1922503725782414E-2</v>
      </c>
      <c r="O502" s="8">
        <f t="shared" si="37"/>
        <v>108.9175</v>
      </c>
      <c r="P502" s="14">
        <f t="shared" si="38"/>
        <v>-547.91000000000008</v>
      </c>
      <c r="Q502" s="16">
        <f t="shared" si="39"/>
        <v>-0.62881309247825201</v>
      </c>
    </row>
    <row r="503" spans="1:17" x14ac:dyDescent="0.2">
      <c r="A503" s="2">
        <v>45698</v>
      </c>
      <c r="B503" s="3" t="s">
        <v>789</v>
      </c>
      <c r="C503" s="3" t="s">
        <v>97</v>
      </c>
      <c r="D503" s="3" t="s">
        <v>46</v>
      </c>
      <c r="E503" s="3" t="s">
        <v>20</v>
      </c>
      <c r="F503" s="3" t="s">
        <v>50</v>
      </c>
      <c r="G503" s="3" t="s">
        <v>17</v>
      </c>
      <c r="H503" s="3">
        <v>9930</v>
      </c>
      <c r="I503" s="3">
        <v>313</v>
      </c>
      <c r="J503" s="3">
        <v>7</v>
      </c>
      <c r="K503" s="12">
        <v>606.97</v>
      </c>
      <c r="L503" s="9">
        <v>447</v>
      </c>
      <c r="M503" s="16">
        <f t="shared" si="35"/>
        <v>3.152064451158107E-2</v>
      </c>
      <c r="N503" s="18">
        <f t="shared" si="36"/>
        <v>2.2364217252396165E-2</v>
      </c>
      <c r="O503" s="8">
        <f t="shared" si="37"/>
        <v>86.710000000000008</v>
      </c>
      <c r="P503" s="14">
        <f t="shared" si="38"/>
        <v>-159.97000000000003</v>
      </c>
      <c r="Q503" s="16">
        <f t="shared" si="39"/>
        <v>-0.26355503566897875</v>
      </c>
    </row>
    <row r="504" spans="1:17" x14ac:dyDescent="0.2">
      <c r="A504" s="2">
        <v>45698</v>
      </c>
      <c r="B504" s="3" t="s">
        <v>26</v>
      </c>
      <c r="C504" s="3" t="s">
        <v>110</v>
      </c>
      <c r="D504" s="3" t="s">
        <v>24</v>
      </c>
      <c r="E504" s="3" t="s">
        <v>20</v>
      </c>
      <c r="F504" s="3" t="s">
        <v>47</v>
      </c>
      <c r="G504" s="3" t="s">
        <v>21</v>
      </c>
      <c r="H504" s="3">
        <v>4573</v>
      </c>
      <c r="I504" s="3">
        <v>579</v>
      </c>
      <c r="J504" s="3">
        <v>80</v>
      </c>
      <c r="K504" s="12">
        <v>0</v>
      </c>
      <c r="L504" s="9">
        <v>10736.33</v>
      </c>
      <c r="M504" s="16">
        <f t="shared" si="35"/>
        <v>0.12661272687513667</v>
      </c>
      <c r="N504" s="18">
        <f t="shared" si="36"/>
        <v>0.1381692573402418</v>
      </c>
      <c r="O504" s="8">
        <f t="shared" si="37"/>
        <v>0</v>
      </c>
      <c r="P504" s="14">
        <f t="shared" si="38"/>
        <v>10736.33</v>
      </c>
      <c r="Q504" s="16">
        <f t="shared" si="39"/>
        <v>0</v>
      </c>
    </row>
    <row r="505" spans="1:17" x14ac:dyDescent="0.2">
      <c r="A505" s="2">
        <v>45699</v>
      </c>
      <c r="B505" s="3" t="s">
        <v>81</v>
      </c>
      <c r="C505" s="3" t="s">
        <v>58</v>
      </c>
      <c r="D505" s="3" t="s">
        <v>37</v>
      </c>
      <c r="E505" s="3" t="s">
        <v>20</v>
      </c>
      <c r="F505" s="3" t="s">
        <v>34</v>
      </c>
      <c r="G505" s="3" t="s">
        <v>17</v>
      </c>
      <c r="H505" s="3">
        <v>2577</v>
      </c>
      <c r="I505" s="3">
        <v>57</v>
      </c>
      <c r="J505" s="3">
        <v>0</v>
      </c>
      <c r="K505" s="12">
        <v>344.64</v>
      </c>
      <c r="L505" s="9">
        <v>0</v>
      </c>
      <c r="M505" s="16">
        <f t="shared" si="35"/>
        <v>2.2118742724097789E-2</v>
      </c>
      <c r="N505" s="18">
        <f t="shared" si="36"/>
        <v>0</v>
      </c>
      <c r="O505" s="8">
        <f t="shared" si="37"/>
        <v>0</v>
      </c>
      <c r="P505" s="14">
        <f t="shared" si="38"/>
        <v>-344.64</v>
      </c>
      <c r="Q505" s="16">
        <f t="shared" si="39"/>
        <v>-1</v>
      </c>
    </row>
    <row r="506" spans="1:17" x14ac:dyDescent="0.2">
      <c r="A506" s="2">
        <v>45699</v>
      </c>
      <c r="B506" s="3" t="s">
        <v>65</v>
      </c>
      <c r="C506" s="3" t="s">
        <v>97</v>
      </c>
      <c r="D506" s="3" t="s">
        <v>46</v>
      </c>
      <c r="E506" s="3" t="s">
        <v>15</v>
      </c>
      <c r="F506" s="3" t="s">
        <v>50</v>
      </c>
      <c r="G506" s="3" t="s">
        <v>17</v>
      </c>
      <c r="H506" s="3">
        <v>17699</v>
      </c>
      <c r="I506" s="3">
        <v>493</v>
      </c>
      <c r="J506" s="3">
        <v>6</v>
      </c>
      <c r="K506" s="12">
        <v>656.34</v>
      </c>
      <c r="L506" s="9">
        <v>551.77</v>
      </c>
      <c r="M506" s="16">
        <f t="shared" si="35"/>
        <v>2.785468105542686E-2</v>
      </c>
      <c r="N506" s="18">
        <f t="shared" si="36"/>
        <v>1.2170385395537525E-2</v>
      </c>
      <c r="O506" s="8">
        <f t="shared" si="37"/>
        <v>109.39</v>
      </c>
      <c r="P506" s="14">
        <f t="shared" si="38"/>
        <v>-104.57000000000005</v>
      </c>
      <c r="Q506" s="16">
        <f t="shared" si="39"/>
        <v>-0.15932291190541495</v>
      </c>
    </row>
    <row r="507" spans="1:17" x14ac:dyDescent="0.2">
      <c r="A507" s="2">
        <v>45699</v>
      </c>
      <c r="B507" s="3" t="s">
        <v>130</v>
      </c>
      <c r="C507" s="3" t="s">
        <v>110</v>
      </c>
      <c r="D507" s="3" t="s">
        <v>24</v>
      </c>
      <c r="E507" s="3" t="s">
        <v>15</v>
      </c>
      <c r="F507" s="3" t="s">
        <v>29</v>
      </c>
      <c r="G507" s="3" t="s">
        <v>21</v>
      </c>
      <c r="H507" s="3">
        <v>4468</v>
      </c>
      <c r="I507" s="3">
        <v>344</v>
      </c>
      <c r="J507" s="3">
        <v>32</v>
      </c>
      <c r="K507" s="12">
        <v>133.58000000000001</v>
      </c>
      <c r="L507" s="9">
        <v>4720.55</v>
      </c>
      <c r="M507" s="16">
        <f t="shared" si="35"/>
        <v>7.6991942703670546E-2</v>
      </c>
      <c r="N507" s="18">
        <f t="shared" si="36"/>
        <v>9.3023255813953487E-2</v>
      </c>
      <c r="O507" s="8">
        <f t="shared" si="37"/>
        <v>4.1743750000000004</v>
      </c>
      <c r="P507" s="14">
        <f t="shared" si="38"/>
        <v>4586.97</v>
      </c>
      <c r="Q507" s="16">
        <f t="shared" si="39"/>
        <v>34.338748315616108</v>
      </c>
    </row>
    <row r="508" spans="1:17" x14ac:dyDescent="0.2">
      <c r="A508" s="2">
        <v>45699</v>
      </c>
      <c r="B508" s="3" t="s">
        <v>481</v>
      </c>
      <c r="C508" s="3" t="s">
        <v>54</v>
      </c>
      <c r="D508" s="3" t="s">
        <v>14</v>
      </c>
      <c r="E508" s="3" t="s">
        <v>20</v>
      </c>
      <c r="F508" s="3" t="s">
        <v>16</v>
      </c>
      <c r="G508" s="3" t="s">
        <v>17</v>
      </c>
      <c r="H508" s="3">
        <v>14961</v>
      </c>
      <c r="I508" s="3">
        <v>573</v>
      </c>
      <c r="J508" s="3">
        <v>18</v>
      </c>
      <c r="K508" s="12">
        <v>1353.52</v>
      </c>
      <c r="L508" s="9">
        <v>2007.11</v>
      </c>
      <c r="M508" s="16">
        <f t="shared" si="35"/>
        <v>3.8299578905153397E-2</v>
      </c>
      <c r="N508" s="18">
        <f t="shared" si="36"/>
        <v>3.1413612565445025E-2</v>
      </c>
      <c r="O508" s="8">
        <f t="shared" si="37"/>
        <v>75.195555555555558</v>
      </c>
      <c r="P508" s="14">
        <f t="shared" si="38"/>
        <v>653.58999999999992</v>
      </c>
      <c r="Q508" s="16">
        <f t="shared" si="39"/>
        <v>0.48288167149358702</v>
      </c>
    </row>
    <row r="509" spans="1:17" x14ac:dyDescent="0.2">
      <c r="A509" s="2">
        <v>45699</v>
      </c>
      <c r="B509" s="3" t="s">
        <v>532</v>
      </c>
      <c r="C509" s="3" t="s">
        <v>36</v>
      </c>
      <c r="D509" s="3" t="s">
        <v>37</v>
      </c>
      <c r="E509" s="3" t="s">
        <v>31</v>
      </c>
      <c r="F509" s="3" t="s">
        <v>50</v>
      </c>
      <c r="G509" s="3" t="s">
        <v>17</v>
      </c>
      <c r="H509" s="3">
        <v>3390</v>
      </c>
      <c r="I509" s="3">
        <v>212</v>
      </c>
      <c r="J509" s="3">
        <v>8</v>
      </c>
      <c r="K509" s="12">
        <v>1724.87</v>
      </c>
      <c r="L509" s="9">
        <v>1474.51</v>
      </c>
      <c r="M509" s="16">
        <f t="shared" si="35"/>
        <v>6.2536873156342182E-2</v>
      </c>
      <c r="N509" s="18">
        <f t="shared" si="36"/>
        <v>3.7735849056603772E-2</v>
      </c>
      <c r="O509" s="8">
        <f t="shared" si="37"/>
        <v>215.60874999999999</v>
      </c>
      <c r="P509" s="14">
        <f t="shared" si="38"/>
        <v>-250.3599999999999</v>
      </c>
      <c r="Q509" s="16">
        <f t="shared" si="39"/>
        <v>-0.1451471705114008</v>
      </c>
    </row>
    <row r="510" spans="1:17" x14ac:dyDescent="0.2">
      <c r="A510" s="2">
        <v>45699</v>
      </c>
      <c r="B510" s="3" t="s">
        <v>790</v>
      </c>
      <c r="C510" s="3" t="s">
        <v>45</v>
      </c>
      <c r="D510" s="3" t="s">
        <v>46</v>
      </c>
      <c r="E510" s="3" t="s">
        <v>31</v>
      </c>
      <c r="F510" s="3" t="s">
        <v>50</v>
      </c>
      <c r="G510" s="3" t="s">
        <v>21</v>
      </c>
      <c r="H510" s="3">
        <v>18574</v>
      </c>
      <c r="I510" s="3">
        <v>476</v>
      </c>
      <c r="J510" s="3">
        <v>24</v>
      </c>
      <c r="K510" s="12">
        <v>607.73</v>
      </c>
      <c r="L510" s="9">
        <v>1714.72</v>
      </c>
      <c r="M510" s="16">
        <f t="shared" si="35"/>
        <v>2.5627220846344351E-2</v>
      </c>
      <c r="N510" s="18">
        <f t="shared" si="36"/>
        <v>5.0420168067226892E-2</v>
      </c>
      <c r="O510" s="8">
        <f t="shared" si="37"/>
        <v>25.322083333333335</v>
      </c>
      <c r="P510" s="14">
        <f t="shared" si="38"/>
        <v>1106.99</v>
      </c>
      <c r="Q510" s="16">
        <f t="shared" si="39"/>
        <v>1.8215161338094219</v>
      </c>
    </row>
    <row r="511" spans="1:17" x14ac:dyDescent="0.2">
      <c r="A511" s="2">
        <v>45699</v>
      </c>
      <c r="B511" s="3" t="s">
        <v>791</v>
      </c>
      <c r="C511" s="3" t="s">
        <v>13</v>
      </c>
      <c r="D511" s="3" t="s">
        <v>14</v>
      </c>
      <c r="E511" s="3" t="s">
        <v>20</v>
      </c>
      <c r="F511" s="3" t="s">
        <v>34</v>
      </c>
      <c r="G511" s="3" t="s">
        <v>21</v>
      </c>
      <c r="H511" s="3">
        <v>9078</v>
      </c>
      <c r="I511" s="3">
        <v>248</v>
      </c>
      <c r="J511" s="3">
        <v>8</v>
      </c>
      <c r="K511" s="12">
        <v>429.39</v>
      </c>
      <c r="L511" s="9">
        <v>560.62</v>
      </c>
      <c r="M511" s="16">
        <f t="shared" si="35"/>
        <v>2.7318792685613571E-2</v>
      </c>
      <c r="N511" s="18">
        <f t="shared" si="36"/>
        <v>3.2258064516129031E-2</v>
      </c>
      <c r="O511" s="8">
        <f t="shared" si="37"/>
        <v>53.673749999999998</v>
      </c>
      <c r="P511" s="14">
        <f t="shared" si="38"/>
        <v>131.23000000000002</v>
      </c>
      <c r="Q511" s="16">
        <f t="shared" si="39"/>
        <v>0.30561959989752913</v>
      </c>
    </row>
    <row r="512" spans="1:17" x14ac:dyDescent="0.2">
      <c r="A512" s="2">
        <v>45699</v>
      </c>
      <c r="B512" s="3" t="s">
        <v>298</v>
      </c>
      <c r="C512" s="3" t="s">
        <v>39</v>
      </c>
      <c r="D512" s="3" t="s">
        <v>28</v>
      </c>
      <c r="E512" s="3" t="s">
        <v>20</v>
      </c>
      <c r="F512" s="3" t="s">
        <v>47</v>
      </c>
      <c r="G512" s="3" t="s">
        <v>21</v>
      </c>
      <c r="H512" s="3">
        <v>28645</v>
      </c>
      <c r="I512" s="3">
        <v>575</v>
      </c>
      <c r="J512" s="3">
        <v>10</v>
      </c>
      <c r="K512" s="12">
        <v>866.85</v>
      </c>
      <c r="L512" s="9">
        <v>626.55999999999995</v>
      </c>
      <c r="M512" s="16">
        <f t="shared" si="35"/>
        <v>2.0073311223599233E-2</v>
      </c>
      <c r="N512" s="18">
        <f t="shared" si="36"/>
        <v>1.7391304347826087E-2</v>
      </c>
      <c r="O512" s="8">
        <f t="shared" si="37"/>
        <v>86.685000000000002</v>
      </c>
      <c r="P512" s="14">
        <f t="shared" si="38"/>
        <v>-240.29000000000008</v>
      </c>
      <c r="Q512" s="16">
        <f t="shared" si="39"/>
        <v>-0.27719905404625955</v>
      </c>
    </row>
    <row r="513" spans="1:17" x14ac:dyDescent="0.2">
      <c r="A513" s="2">
        <v>45699</v>
      </c>
      <c r="B513" s="3" t="s">
        <v>792</v>
      </c>
      <c r="C513" s="3" t="s">
        <v>71</v>
      </c>
      <c r="D513" s="3" t="s">
        <v>37</v>
      </c>
      <c r="E513" s="3" t="s">
        <v>15</v>
      </c>
      <c r="F513" s="3" t="s">
        <v>50</v>
      </c>
      <c r="G513" s="3" t="s">
        <v>17</v>
      </c>
      <c r="H513" s="3">
        <v>2491</v>
      </c>
      <c r="I513" s="3">
        <v>114</v>
      </c>
      <c r="J513" s="3">
        <v>1</v>
      </c>
      <c r="K513" s="12">
        <v>643.78</v>
      </c>
      <c r="L513" s="9">
        <v>151.86000000000001</v>
      </c>
      <c r="M513" s="16">
        <f t="shared" si="35"/>
        <v>4.5764753111200318E-2</v>
      </c>
      <c r="N513" s="18">
        <f t="shared" si="36"/>
        <v>8.771929824561403E-3</v>
      </c>
      <c r="O513" s="8">
        <f t="shared" si="37"/>
        <v>643.78</v>
      </c>
      <c r="P513" s="14">
        <f t="shared" si="38"/>
        <v>-491.91999999999996</v>
      </c>
      <c r="Q513" s="16">
        <f t="shared" si="39"/>
        <v>-0.76411196371431234</v>
      </c>
    </row>
    <row r="514" spans="1:17" x14ac:dyDescent="0.2">
      <c r="A514" s="2">
        <v>45699</v>
      </c>
      <c r="B514" s="3" t="s">
        <v>469</v>
      </c>
      <c r="C514" s="3" t="s">
        <v>43</v>
      </c>
      <c r="D514" s="3" t="s">
        <v>37</v>
      </c>
      <c r="E514" s="3" t="s">
        <v>20</v>
      </c>
      <c r="F514" s="3" t="s">
        <v>34</v>
      </c>
      <c r="G514" s="3" t="s">
        <v>25</v>
      </c>
      <c r="H514" s="3">
        <v>5087</v>
      </c>
      <c r="I514" s="3">
        <v>149</v>
      </c>
      <c r="J514" s="3">
        <v>3</v>
      </c>
      <c r="K514" s="12">
        <v>816.4</v>
      </c>
      <c r="L514" s="9">
        <v>373.34</v>
      </c>
      <c r="M514" s="16">
        <f t="shared" si="35"/>
        <v>2.9290347945744054E-2</v>
      </c>
      <c r="N514" s="18">
        <f t="shared" si="36"/>
        <v>2.0134228187919462E-2</v>
      </c>
      <c r="O514" s="8">
        <f t="shared" si="37"/>
        <v>272.13333333333333</v>
      </c>
      <c r="P514" s="14">
        <f t="shared" si="38"/>
        <v>-443.06</v>
      </c>
      <c r="Q514" s="16">
        <f t="shared" si="39"/>
        <v>-0.5426996570308672</v>
      </c>
    </row>
    <row r="515" spans="1:17" x14ac:dyDescent="0.2">
      <c r="A515" s="2">
        <v>45699</v>
      </c>
      <c r="B515" s="3" t="s">
        <v>793</v>
      </c>
      <c r="C515" s="3" t="s">
        <v>110</v>
      </c>
      <c r="D515" s="3" t="s">
        <v>24</v>
      </c>
      <c r="E515" s="3" t="s">
        <v>20</v>
      </c>
      <c r="F515" s="3" t="s">
        <v>50</v>
      </c>
      <c r="G515" s="3" t="s">
        <v>21</v>
      </c>
      <c r="H515" s="3">
        <v>2553</v>
      </c>
      <c r="I515" s="3">
        <v>274</v>
      </c>
      <c r="J515" s="3">
        <v>32</v>
      </c>
      <c r="K515" s="12">
        <v>95.72</v>
      </c>
      <c r="L515" s="9">
        <v>3969.92</v>
      </c>
      <c r="M515" s="16">
        <f t="shared" ref="M515:M578" si="40">IFERROR(I515/H515,0)</f>
        <v>0.10732471602036819</v>
      </c>
      <c r="N515" s="18">
        <f t="shared" ref="N515:N578" si="41">IFERROR(J515/I515,0)</f>
        <v>0.11678832116788321</v>
      </c>
      <c r="O515" s="8">
        <f t="shared" ref="O515:O578" si="42">IFERROR(K515/J515,0)</f>
        <v>2.99125</v>
      </c>
      <c r="P515" s="14">
        <f t="shared" ref="P515:P578" si="43">L515-K515</f>
        <v>3874.2000000000003</v>
      </c>
      <c r="Q515" s="16">
        <f t="shared" ref="Q515:Q578" si="44">IFERROR((L515-K515)/K515,0)</f>
        <v>40.474300041788553</v>
      </c>
    </row>
    <row r="516" spans="1:17" x14ac:dyDescent="0.2">
      <c r="A516" s="2">
        <v>45700</v>
      </c>
      <c r="B516" s="3" t="s">
        <v>348</v>
      </c>
      <c r="C516" s="3" t="s">
        <v>27</v>
      </c>
      <c r="D516" s="3" t="s">
        <v>28</v>
      </c>
      <c r="E516" s="3" t="s">
        <v>31</v>
      </c>
      <c r="F516" s="3" t="s">
        <v>47</v>
      </c>
      <c r="G516" s="3" t="s">
        <v>21</v>
      </c>
      <c r="H516" s="3">
        <v>21434</v>
      </c>
      <c r="I516" s="3">
        <v>462</v>
      </c>
      <c r="J516" s="3">
        <v>9</v>
      </c>
      <c r="K516" s="12">
        <v>523.42999999999995</v>
      </c>
      <c r="L516" s="9">
        <v>723.91</v>
      </c>
      <c r="M516" s="16">
        <f t="shared" si="40"/>
        <v>2.1554539516655782E-2</v>
      </c>
      <c r="N516" s="18">
        <f t="shared" si="41"/>
        <v>1.948051948051948E-2</v>
      </c>
      <c r="O516" s="8">
        <f t="shared" si="42"/>
        <v>58.158888888888882</v>
      </c>
      <c r="P516" s="14">
        <f t="shared" si="43"/>
        <v>200.48000000000002</v>
      </c>
      <c r="Q516" s="16">
        <f t="shared" si="44"/>
        <v>0.38301205509810299</v>
      </c>
    </row>
    <row r="517" spans="1:17" x14ac:dyDescent="0.2">
      <c r="A517" s="2">
        <v>45700</v>
      </c>
      <c r="B517" s="3" t="s">
        <v>217</v>
      </c>
      <c r="C517" s="3" t="s">
        <v>27</v>
      </c>
      <c r="D517" s="3" t="s">
        <v>28</v>
      </c>
      <c r="E517" s="3" t="s">
        <v>31</v>
      </c>
      <c r="F517" s="3" t="s">
        <v>34</v>
      </c>
      <c r="G517" s="3" t="s">
        <v>21</v>
      </c>
      <c r="H517" s="3">
        <v>29644</v>
      </c>
      <c r="I517" s="3">
        <v>348</v>
      </c>
      <c r="J517" s="3">
        <v>5</v>
      </c>
      <c r="K517" s="12">
        <v>312.38</v>
      </c>
      <c r="L517" s="9">
        <v>313.70999999999998</v>
      </c>
      <c r="M517" s="16">
        <f t="shared" si="40"/>
        <v>1.1739306436378357E-2</v>
      </c>
      <c r="N517" s="18">
        <f t="shared" si="41"/>
        <v>1.4367816091954023E-2</v>
      </c>
      <c r="O517" s="8">
        <f t="shared" si="42"/>
        <v>62.475999999999999</v>
      </c>
      <c r="P517" s="14">
        <f t="shared" si="43"/>
        <v>1.3299999999999841</v>
      </c>
      <c r="Q517" s="16">
        <f t="shared" si="44"/>
        <v>4.2576349318137656E-3</v>
      </c>
    </row>
    <row r="518" spans="1:17" x14ac:dyDescent="0.2">
      <c r="A518" s="2">
        <v>45700</v>
      </c>
      <c r="B518" s="3" t="s">
        <v>794</v>
      </c>
      <c r="C518" s="3" t="s">
        <v>156</v>
      </c>
      <c r="D518" s="3" t="s">
        <v>46</v>
      </c>
      <c r="E518" s="3" t="s">
        <v>15</v>
      </c>
      <c r="F518" s="3" t="s">
        <v>16</v>
      </c>
      <c r="G518" s="3" t="s">
        <v>17</v>
      </c>
      <c r="H518" s="3">
        <v>17523</v>
      </c>
      <c r="I518" s="3">
        <v>461</v>
      </c>
      <c r="J518" s="3">
        <v>9</v>
      </c>
      <c r="K518" s="12">
        <v>506.31</v>
      </c>
      <c r="L518" s="9">
        <v>574.89</v>
      </c>
      <c r="M518" s="16">
        <f t="shared" si="40"/>
        <v>2.630828054556868E-2</v>
      </c>
      <c r="N518" s="18">
        <f t="shared" si="41"/>
        <v>1.9522776572668113E-2</v>
      </c>
      <c r="O518" s="8">
        <f t="shared" si="42"/>
        <v>56.256666666666668</v>
      </c>
      <c r="P518" s="14">
        <f t="shared" si="43"/>
        <v>68.579999999999984</v>
      </c>
      <c r="Q518" s="16">
        <f t="shared" si="44"/>
        <v>0.13545061326065055</v>
      </c>
    </row>
    <row r="519" spans="1:17" x14ac:dyDescent="0.2">
      <c r="A519" s="2">
        <v>45700</v>
      </c>
      <c r="B519" s="3" t="s">
        <v>213</v>
      </c>
      <c r="C519" s="3" t="s">
        <v>36</v>
      </c>
      <c r="D519" s="3" t="s">
        <v>37</v>
      </c>
      <c r="E519" s="3" t="s">
        <v>15</v>
      </c>
      <c r="F519" s="3" t="s">
        <v>29</v>
      </c>
      <c r="G519" s="3" t="s">
        <v>21</v>
      </c>
      <c r="H519" s="3">
        <v>5281</v>
      </c>
      <c r="I519" s="3">
        <v>98</v>
      </c>
      <c r="J519" s="3">
        <v>1</v>
      </c>
      <c r="K519" s="12">
        <v>702.45</v>
      </c>
      <c r="L519" s="9">
        <v>11.06</v>
      </c>
      <c r="M519" s="16">
        <f t="shared" si="40"/>
        <v>1.8557091459950766E-2</v>
      </c>
      <c r="N519" s="18">
        <f t="shared" si="41"/>
        <v>1.020408163265306E-2</v>
      </c>
      <c r="O519" s="8">
        <f t="shared" si="42"/>
        <v>702.45</v>
      </c>
      <c r="P519" s="14">
        <f t="shared" si="43"/>
        <v>-691.3900000000001</v>
      </c>
      <c r="Q519" s="16">
        <f t="shared" si="44"/>
        <v>-0.98425510712506237</v>
      </c>
    </row>
    <row r="520" spans="1:17" x14ac:dyDescent="0.2">
      <c r="A520" s="2">
        <v>45700</v>
      </c>
      <c r="B520" s="3" t="s">
        <v>795</v>
      </c>
      <c r="C520" s="3" t="s">
        <v>41</v>
      </c>
      <c r="D520" s="3" t="s">
        <v>24</v>
      </c>
      <c r="E520" s="3" t="s">
        <v>20</v>
      </c>
      <c r="F520" s="3" t="s">
        <v>16</v>
      </c>
      <c r="G520" s="3" t="s">
        <v>17</v>
      </c>
      <c r="H520" s="3">
        <v>2547</v>
      </c>
      <c r="I520" s="3">
        <v>265</v>
      </c>
      <c r="J520" s="3">
        <v>19</v>
      </c>
      <c r="K520" s="12">
        <v>75.41</v>
      </c>
      <c r="L520" s="9">
        <v>2433.5700000000002</v>
      </c>
      <c r="M520" s="16">
        <f t="shared" si="40"/>
        <v>0.10404397330192383</v>
      </c>
      <c r="N520" s="18">
        <f t="shared" si="41"/>
        <v>7.1698113207547168E-2</v>
      </c>
      <c r="O520" s="8">
        <f t="shared" si="42"/>
        <v>3.9689473684210523</v>
      </c>
      <c r="P520" s="14">
        <f t="shared" si="43"/>
        <v>2358.1600000000003</v>
      </c>
      <c r="Q520" s="16">
        <f t="shared" si="44"/>
        <v>31.271184193077847</v>
      </c>
    </row>
    <row r="521" spans="1:17" x14ac:dyDescent="0.2">
      <c r="A521" s="2">
        <v>45700</v>
      </c>
      <c r="B521" s="3" t="s">
        <v>796</v>
      </c>
      <c r="C521" s="3" t="s">
        <v>97</v>
      </c>
      <c r="D521" s="3" t="s">
        <v>46</v>
      </c>
      <c r="E521" s="3" t="s">
        <v>20</v>
      </c>
      <c r="F521" s="3" t="s">
        <v>50</v>
      </c>
      <c r="G521" s="3" t="s">
        <v>17</v>
      </c>
      <c r="H521" s="3">
        <v>12233</v>
      </c>
      <c r="I521" s="3">
        <v>269</v>
      </c>
      <c r="J521" s="3">
        <v>6</v>
      </c>
      <c r="K521" s="12">
        <v>449.17</v>
      </c>
      <c r="L521" s="9">
        <v>450.51</v>
      </c>
      <c r="M521" s="16">
        <f t="shared" si="40"/>
        <v>2.1989699991825391E-2</v>
      </c>
      <c r="N521" s="18">
        <f t="shared" si="41"/>
        <v>2.2304832713754646E-2</v>
      </c>
      <c r="O521" s="8">
        <f t="shared" si="42"/>
        <v>74.861666666666665</v>
      </c>
      <c r="P521" s="14">
        <f t="shared" si="43"/>
        <v>1.339999999999975</v>
      </c>
      <c r="Q521" s="16">
        <f t="shared" si="44"/>
        <v>2.9832802725025601E-3</v>
      </c>
    </row>
    <row r="522" spans="1:17" x14ac:dyDescent="0.2">
      <c r="A522" s="2">
        <v>45700</v>
      </c>
      <c r="B522" s="3" t="s">
        <v>797</v>
      </c>
      <c r="C522" s="3" t="s">
        <v>13</v>
      </c>
      <c r="D522" s="3" t="s">
        <v>14</v>
      </c>
      <c r="E522" s="3" t="s">
        <v>15</v>
      </c>
      <c r="F522" s="3" t="s">
        <v>47</v>
      </c>
      <c r="G522" s="3" t="s">
        <v>17</v>
      </c>
      <c r="H522" s="3">
        <v>12882</v>
      </c>
      <c r="I522" s="3">
        <v>376</v>
      </c>
      <c r="J522" s="3">
        <v>11</v>
      </c>
      <c r="K522" s="12">
        <v>878.86</v>
      </c>
      <c r="L522" s="9">
        <v>977.36</v>
      </c>
      <c r="M522" s="16">
        <f t="shared" si="40"/>
        <v>2.9188014283496353E-2</v>
      </c>
      <c r="N522" s="18">
        <f t="shared" si="41"/>
        <v>2.9255319148936171E-2</v>
      </c>
      <c r="O522" s="8">
        <f t="shared" si="42"/>
        <v>79.896363636363631</v>
      </c>
      <c r="P522" s="14">
        <f t="shared" si="43"/>
        <v>98.5</v>
      </c>
      <c r="Q522" s="16">
        <f t="shared" si="44"/>
        <v>0.11207700885237694</v>
      </c>
    </row>
    <row r="523" spans="1:17" x14ac:dyDescent="0.2">
      <c r="A523" s="2">
        <v>45700</v>
      </c>
      <c r="B523" s="3" t="s">
        <v>798</v>
      </c>
      <c r="C523" s="3" t="s">
        <v>58</v>
      </c>
      <c r="D523" s="3" t="s">
        <v>37</v>
      </c>
      <c r="E523" s="3" t="s">
        <v>20</v>
      </c>
      <c r="F523" s="3" t="s">
        <v>34</v>
      </c>
      <c r="G523" s="3" t="s">
        <v>17</v>
      </c>
      <c r="H523" s="3">
        <v>3878</v>
      </c>
      <c r="I523" s="3">
        <v>204</v>
      </c>
      <c r="J523" s="3">
        <v>3</v>
      </c>
      <c r="K523" s="12">
        <v>1350.78</v>
      </c>
      <c r="L523" s="9">
        <v>345.2</v>
      </c>
      <c r="M523" s="16">
        <f t="shared" si="40"/>
        <v>5.260443527591542E-2</v>
      </c>
      <c r="N523" s="18">
        <f t="shared" si="41"/>
        <v>1.4705882352941176E-2</v>
      </c>
      <c r="O523" s="8">
        <f t="shared" si="42"/>
        <v>450.26</v>
      </c>
      <c r="P523" s="14">
        <f t="shared" si="43"/>
        <v>-1005.5799999999999</v>
      </c>
      <c r="Q523" s="16">
        <f t="shared" si="44"/>
        <v>-0.74444395090244153</v>
      </c>
    </row>
    <row r="524" spans="1:17" x14ac:dyDescent="0.2">
      <c r="A524" s="2">
        <v>45700</v>
      </c>
      <c r="B524" s="3" t="s">
        <v>519</v>
      </c>
      <c r="C524" s="3" t="s">
        <v>23</v>
      </c>
      <c r="D524" s="3" t="s">
        <v>24</v>
      </c>
      <c r="E524" s="3" t="s">
        <v>20</v>
      </c>
      <c r="F524" s="3" t="s">
        <v>29</v>
      </c>
      <c r="G524" s="3" t="s">
        <v>21</v>
      </c>
      <c r="H524" s="3">
        <v>2198</v>
      </c>
      <c r="I524" s="3">
        <v>190</v>
      </c>
      <c r="J524" s="3">
        <v>32</v>
      </c>
      <c r="K524" s="12">
        <v>84.74</v>
      </c>
      <c r="L524" s="9">
        <v>4712.53</v>
      </c>
      <c r="M524" s="16">
        <f t="shared" si="40"/>
        <v>8.6442220200181982E-2</v>
      </c>
      <c r="N524" s="18">
        <f t="shared" si="41"/>
        <v>0.16842105263157894</v>
      </c>
      <c r="O524" s="8">
        <f t="shared" si="42"/>
        <v>2.6481249999999998</v>
      </c>
      <c r="P524" s="14">
        <f t="shared" si="43"/>
        <v>4627.79</v>
      </c>
      <c r="Q524" s="16">
        <f t="shared" si="44"/>
        <v>54.611635591220207</v>
      </c>
    </row>
    <row r="525" spans="1:17" x14ac:dyDescent="0.2">
      <c r="A525" s="2">
        <v>45700</v>
      </c>
      <c r="B525" s="3" t="s">
        <v>445</v>
      </c>
      <c r="C525" s="3" t="s">
        <v>49</v>
      </c>
      <c r="D525" s="3" t="s">
        <v>46</v>
      </c>
      <c r="E525" s="3" t="s">
        <v>31</v>
      </c>
      <c r="F525" s="3" t="s">
        <v>34</v>
      </c>
      <c r="G525" s="3" t="s">
        <v>17</v>
      </c>
      <c r="H525" s="3">
        <v>14581</v>
      </c>
      <c r="I525" s="3">
        <v>452</v>
      </c>
      <c r="J525" s="3">
        <v>19</v>
      </c>
      <c r="K525" s="12">
        <v>483.87</v>
      </c>
      <c r="L525" s="9">
        <v>1143.68</v>
      </c>
      <c r="M525" s="16">
        <f t="shared" si="40"/>
        <v>3.0999245593580686E-2</v>
      </c>
      <c r="N525" s="18">
        <f t="shared" si="41"/>
        <v>4.2035398230088498E-2</v>
      </c>
      <c r="O525" s="8">
        <f t="shared" si="42"/>
        <v>25.466842105263158</v>
      </c>
      <c r="P525" s="14">
        <f t="shared" si="43"/>
        <v>659.81000000000006</v>
      </c>
      <c r="Q525" s="16">
        <f t="shared" si="44"/>
        <v>1.3636100605534545</v>
      </c>
    </row>
    <row r="526" spans="1:17" x14ac:dyDescent="0.2">
      <c r="A526" s="2">
        <v>45700</v>
      </c>
      <c r="B526" s="3" t="s">
        <v>799</v>
      </c>
      <c r="C526" s="3" t="s">
        <v>43</v>
      </c>
      <c r="D526" s="3" t="s">
        <v>37</v>
      </c>
      <c r="E526" s="3" t="s">
        <v>31</v>
      </c>
      <c r="F526" s="3" t="s">
        <v>50</v>
      </c>
      <c r="G526" s="3" t="s">
        <v>17</v>
      </c>
      <c r="H526" s="3">
        <v>2504</v>
      </c>
      <c r="I526" s="3">
        <v>128</v>
      </c>
      <c r="J526" s="3">
        <v>2</v>
      </c>
      <c r="K526" s="12">
        <v>718.13</v>
      </c>
      <c r="L526" s="9">
        <v>334.13</v>
      </c>
      <c r="M526" s="16">
        <f t="shared" si="40"/>
        <v>5.1118210862619806E-2</v>
      </c>
      <c r="N526" s="18">
        <f t="shared" si="41"/>
        <v>1.5625E-2</v>
      </c>
      <c r="O526" s="8">
        <f t="shared" si="42"/>
        <v>359.065</v>
      </c>
      <c r="P526" s="14">
        <f t="shared" si="43"/>
        <v>-384</v>
      </c>
      <c r="Q526" s="16">
        <f t="shared" si="44"/>
        <v>-0.53472212552044895</v>
      </c>
    </row>
    <row r="527" spans="1:17" x14ac:dyDescent="0.2">
      <c r="A527" s="2">
        <v>45701</v>
      </c>
      <c r="B527" s="3" t="s">
        <v>800</v>
      </c>
      <c r="C527" s="3" t="s">
        <v>33</v>
      </c>
      <c r="D527" s="3" t="s">
        <v>28</v>
      </c>
      <c r="E527" s="3" t="s">
        <v>20</v>
      </c>
      <c r="F527" s="3" t="s">
        <v>29</v>
      </c>
      <c r="G527" s="3" t="s">
        <v>17</v>
      </c>
      <c r="H527" s="3">
        <v>30776</v>
      </c>
      <c r="I527" s="3">
        <v>233</v>
      </c>
      <c r="J527" s="3">
        <v>3</v>
      </c>
      <c r="K527" s="12">
        <v>212.7</v>
      </c>
      <c r="L527" s="9">
        <v>223</v>
      </c>
      <c r="M527" s="16">
        <f t="shared" si="40"/>
        <v>7.5708344164283859E-3</v>
      </c>
      <c r="N527" s="18">
        <f t="shared" si="41"/>
        <v>1.2875536480686695E-2</v>
      </c>
      <c r="O527" s="8">
        <f t="shared" si="42"/>
        <v>70.899999999999991</v>
      </c>
      <c r="P527" s="14">
        <f t="shared" si="43"/>
        <v>10.300000000000011</v>
      </c>
      <c r="Q527" s="16">
        <f t="shared" si="44"/>
        <v>4.8425011753643686E-2</v>
      </c>
    </row>
    <row r="528" spans="1:17" x14ac:dyDescent="0.2">
      <c r="A528" s="2">
        <v>45701</v>
      </c>
      <c r="B528" s="3" t="s">
        <v>339</v>
      </c>
      <c r="C528" s="3" t="s">
        <v>39</v>
      </c>
      <c r="D528" s="3" t="s">
        <v>28</v>
      </c>
      <c r="E528" s="3" t="s">
        <v>31</v>
      </c>
      <c r="F528" s="3" t="s">
        <v>29</v>
      </c>
      <c r="G528" s="3" t="s">
        <v>21</v>
      </c>
      <c r="H528" s="3">
        <v>23538</v>
      </c>
      <c r="I528" s="3">
        <v>353</v>
      </c>
      <c r="J528" s="3">
        <v>8</v>
      </c>
      <c r="K528" s="12">
        <v>425.22</v>
      </c>
      <c r="L528" s="9">
        <v>357.78</v>
      </c>
      <c r="M528" s="16">
        <f t="shared" si="40"/>
        <v>1.4997026085478799E-2</v>
      </c>
      <c r="N528" s="18">
        <f t="shared" si="41"/>
        <v>2.2662889518413599E-2</v>
      </c>
      <c r="O528" s="8">
        <f t="shared" si="42"/>
        <v>53.152500000000003</v>
      </c>
      <c r="P528" s="14">
        <f t="shared" si="43"/>
        <v>-67.440000000000055</v>
      </c>
      <c r="Q528" s="16">
        <f t="shared" si="44"/>
        <v>-0.15860025398617197</v>
      </c>
    </row>
    <row r="529" spans="1:17" x14ac:dyDescent="0.2">
      <c r="A529" s="2">
        <v>45701</v>
      </c>
      <c r="B529" s="3" t="s">
        <v>463</v>
      </c>
      <c r="C529" s="3" t="s">
        <v>110</v>
      </c>
      <c r="D529" s="3" t="s">
        <v>24</v>
      </c>
      <c r="E529" s="3" t="s">
        <v>20</v>
      </c>
      <c r="F529" s="3" t="s">
        <v>47</v>
      </c>
      <c r="G529" s="3" t="s">
        <v>21</v>
      </c>
      <c r="H529" s="3">
        <v>4049</v>
      </c>
      <c r="I529" s="3">
        <v>501</v>
      </c>
      <c r="J529" s="3">
        <v>82</v>
      </c>
      <c r="K529" s="12">
        <v>118.52</v>
      </c>
      <c r="L529" s="9">
        <v>8853.7800000000007</v>
      </c>
      <c r="M529" s="16">
        <f t="shared" si="40"/>
        <v>0.12373425537169672</v>
      </c>
      <c r="N529" s="18">
        <f t="shared" si="41"/>
        <v>0.16367265469061876</v>
      </c>
      <c r="O529" s="8">
        <f t="shared" si="42"/>
        <v>1.4453658536585365</v>
      </c>
      <c r="P529" s="14">
        <f t="shared" si="43"/>
        <v>8735.26</v>
      </c>
      <c r="Q529" s="16">
        <f t="shared" si="44"/>
        <v>73.702834964562953</v>
      </c>
    </row>
    <row r="530" spans="1:17" x14ac:dyDescent="0.2">
      <c r="A530" s="2">
        <v>45701</v>
      </c>
      <c r="B530" s="3" t="s">
        <v>99</v>
      </c>
      <c r="C530" s="3" t="s">
        <v>36</v>
      </c>
      <c r="D530" s="3" t="s">
        <v>37</v>
      </c>
      <c r="E530" s="3" t="s">
        <v>20</v>
      </c>
      <c r="F530" s="3" t="s">
        <v>47</v>
      </c>
      <c r="G530" s="3" t="s">
        <v>21</v>
      </c>
      <c r="H530" s="3">
        <v>4941</v>
      </c>
      <c r="I530" s="3">
        <v>192</v>
      </c>
      <c r="J530" s="3">
        <v>3</v>
      </c>
      <c r="K530" s="12">
        <v>1034.6300000000001</v>
      </c>
      <c r="L530" s="9">
        <v>459.44</v>
      </c>
      <c r="M530" s="16">
        <f t="shared" si="40"/>
        <v>3.8858530661809353E-2</v>
      </c>
      <c r="N530" s="18">
        <f t="shared" si="41"/>
        <v>1.5625E-2</v>
      </c>
      <c r="O530" s="8">
        <f t="shared" si="42"/>
        <v>344.87666666666672</v>
      </c>
      <c r="P530" s="14">
        <f t="shared" si="43"/>
        <v>-575.19000000000005</v>
      </c>
      <c r="Q530" s="16">
        <f t="shared" si="44"/>
        <v>-0.55593787150962182</v>
      </c>
    </row>
    <row r="531" spans="1:17" x14ac:dyDescent="0.2">
      <c r="A531" s="2">
        <v>45701</v>
      </c>
      <c r="B531" s="3" t="s">
        <v>801</v>
      </c>
      <c r="C531" s="3" t="s">
        <v>156</v>
      </c>
      <c r="D531" s="3" t="s">
        <v>46</v>
      </c>
      <c r="E531" s="3" t="s">
        <v>15</v>
      </c>
      <c r="F531" s="3" t="s">
        <v>47</v>
      </c>
      <c r="G531" s="3" t="s">
        <v>17</v>
      </c>
      <c r="H531" s="3">
        <v>9896</v>
      </c>
      <c r="I531" s="3">
        <v>380</v>
      </c>
      <c r="J531" s="3">
        <v>7</v>
      </c>
      <c r="K531" s="12">
        <v>599.80999999999995</v>
      </c>
      <c r="L531" s="9">
        <v>614.24</v>
      </c>
      <c r="M531" s="16">
        <f t="shared" si="40"/>
        <v>3.839935327405012E-2</v>
      </c>
      <c r="N531" s="18">
        <f t="shared" si="41"/>
        <v>1.8421052631578946E-2</v>
      </c>
      <c r="O531" s="8">
        <f t="shared" si="42"/>
        <v>85.687142857142845</v>
      </c>
      <c r="P531" s="14">
        <f t="shared" si="43"/>
        <v>14.430000000000064</v>
      </c>
      <c r="Q531" s="16">
        <f t="shared" si="44"/>
        <v>2.4057618245777939E-2</v>
      </c>
    </row>
    <row r="532" spans="1:17" x14ac:dyDescent="0.2">
      <c r="A532" s="2">
        <v>45702</v>
      </c>
      <c r="B532" s="3" t="s">
        <v>802</v>
      </c>
      <c r="C532" s="3" t="s">
        <v>49</v>
      </c>
      <c r="D532" s="3" t="s">
        <v>46</v>
      </c>
      <c r="E532" s="3" t="s">
        <v>31</v>
      </c>
      <c r="F532" s="3" t="s">
        <v>34</v>
      </c>
      <c r="G532" s="3" t="s">
        <v>21</v>
      </c>
      <c r="H532" s="3">
        <v>15210</v>
      </c>
      <c r="I532" s="3">
        <v>437</v>
      </c>
      <c r="J532" s="3">
        <v>24</v>
      </c>
      <c r="K532" s="12">
        <v>676.49</v>
      </c>
      <c r="L532" s="9">
        <v>2163.12</v>
      </c>
      <c r="M532" s="16">
        <f t="shared" si="40"/>
        <v>2.8731097961867194E-2</v>
      </c>
      <c r="N532" s="18">
        <f t="shared" si="41"/>
        <v>5.4919908466819219E-2</v>
      </c>
      <c r="O532" s="8">
        <f t="shared" si="42"/>
        <v>28.187083333333334</v>
      </c>
      <c r="P532" s="14">
        <f t="shared" si="43"/>
        <v>1486.6299999999999</v>
      </c>
      <c r="Q532" s="16">
        <f t="shared" si="44"/>
        <v>2.1975638959925496</v>
      </c>
    </row>
    <row r="533" spans="1:17" x14ac:dyDescent="0.2">
      <c r="A533" s="2">
        <v>45702</v>
      </c>
      <c r="B533" s="3" t="s">
        <v>803</v>
      </c>
      <c r="C533" s="3" t="s">
        <v>43</v>
      </c>
      <c r="D533" s="3" t="s">
        <v>37</v>
      </c>
      <c r="E533" s="3" t="s">
        <v>31</v>
      </c>
      <c r="F533" s="3" t="s">
        <v>16</v>
      </c>
      <c r="G533" s="3" t="s">
        <v>17</v>
      </c>
      <c r="H533" s="3">
        <v>2764</v>
      </c>
      <c r="I533" s="3">
        <v>82</v>
      </c>
      <c r="J533" s="3">
        <v>2</v>
      </c>
      <c r="K533" s="12">
        <v>469.74</v>
      </c>
      <c r="L533" s="9">
        <v>263.70999999999998</v>
      </c>
      <c r="M533" s="16">
        <f t="shared" si="40"/>
        <v>2.9667149059334298E-2</v>
      </c>
      <c r="N533" s="18">
        <f t="shared" si="41"/>
        <v>2.4390243902439025E-2</v>
      </c>
      <c r="O533" s="8">
        <f t="shared" si="42"/>
        <v>234.87</v>
      </c>
      <c r="P533" s="14">
        <f t="shared" si="43"/>
        <v>-206.03000000000003</v>
      </c>
      <c r="Q533" s="16">
        <f t="shared" si="44"/>
        <v>-0.43860433431259849</v>
      </c>
    </row>
    <row r="534" spans="1:17" x14ac:dyDescent="0.2">
      <c r="A534" s="2">
        <v>45702</v>
      </c>
      <c r="B534" s="3" t="s">
        <v>804</v>
      </c>
      <c r="C534" s="3" t="s">
        <v>97</v>
      </c>
      <c r="D534" s="3" t="s">
        <v>46</v>
      </c>
      <c r="E534" s="3" t="s">
        <v>31</v>
      </c>
      <c r="F534" s="3" t="s">
        <v>16</v>
      </c>
      <c r="G534" s="3" t="s">
        <v>17</v>
      </c>
      <c r="H534" s="3">
        <v>16583</v>
      </c>
      <c r="I534" s="3">
        <v>515</v>
      </c>
      <c r="J534" s="3">
        <v>16</v>
      </c>
      <c r="K534" s="12">
        <v>533.21</v>
      </c>
      <c r="L534" s="9">
        <v>1186.02</v>
      </c>
      <c r="M534" s="16">
        <f t="shared" si="40"/>
        <v>3.1055900621118012E-2</v>
      </c>
      <c r="N534" s="18">
        <f t="shared" si="41"/>
        <v>3.1067961165048542E-2</v>
      </c>
      <c r="O534" s="8">
        <f t="shared" si="42"/>
        <v>33.325625000000002</v>
      </c>
      <c r="P534" s="14">
        <f t="shared" si="43"/>
        <v>652.80999999999995</v>
      </c>
      <c r="Q534" s="16">
        <f t="shared" si="44"/>
        <v>1.2243018698073929</v>
      </c>
    </row>
    <row r="535" spans="1:17" x14ac:dyDescent="0.2">
      <c r="A535" s="2">
        <v>45702</v>
      </c>
      <c r="B535" s="3" t="s">
        <v>140</v>
      </c>
      <c r="C535" s="3" t="s">
        <v>41</v>
      </c>
      <c r="D535" s="3" t="s">
        <v>24</v>
      </c>
      <c r="E535" s="3" t="s">
        <v>31</v>
      </c>
      <c r="F535" s="3" t="s">
        <v>50</v>
      </c>
      <c r="G535" s="3" t="s">
        <v>21</v>
      </c>
      <c r="H535" s="3">
        <v>4662</v>
      </c>
      <c r="I535" s="3">
        <v>557</v>
      </c>
      <c r="J535" s="3">
        <v>111</v>
      </c>
      <c r="K535" s="12">
        <v>153.86000000000001</v>
      </c>
      <c r="L535" s="9">
        <v>9941.56</v>
      </c>
      <c r="M535" s="16">
        <f t="shared" si="40"/>
        <v>0.11947661947661947</v>
      </c>
      <c r="N535" s="18">
        <f t="shared" si="41"/>
        <v>0.1992818671454219</v>
      </c>
      <c r="O535" s="8">
        <f t="shared" si="42"/>
        <v>1.3861261261261262</v>
      </c>
      <c r="P535" s="14">
        <f t="shared" si="43"/>
        <v>9787.6999999999989</v>
      </c>
      <c r="Q535" s="16">
        <f t="shared" si="44"/>
        <v>63.614324710776017</v>
      </c>
    </row>
    <row r="536" spans="1:17" x14ac:dyDescent="0.2">
      <c r="A536" s="2">
        <v>45702</v>
      </c>
      <c r="B536" s="3" t="s">
        <v>805</v>
      </c>
      <c r="C536" s="3" t="s">
        <v>52</v>
      </c>
      <c r="D536" s="3" t="s">
        <v>24</v>
      </c>
      <c r="E536" s="3" t="s">
        <v>20</v>
      </c>
      <c r="F536" s="3" t="s">
        <v>47</v>
      </c>
      <c r="G536" s="3" t="s">
        <v>17</v>
      </c>
      <c r="H536" s="3">
        <v>3264</v>
      </c>
      <c r="I536" s="3">
        <v>444</v>
      </c>
      <c r="J536" s="3">
        <v>33</v>
      </c>
      <c r="K536" s="12">
        <v>115.49</v>
      </c>
      <c r="L536" s="9">
        <v>2850.6</v>
      </c>
      <c r="M536" s="16">
        <f t="shared" si="40"/>
        <v>0.13602941176470587</v>
      </c>
      <c r="N536" s="18">
        <f t="shared" si="41"/>
        <v>7.4324324324324328E-2</v>
      </c>
      <c r="O536" s="8">
        <f t="shared" si="42"/>
        <v>3.4996969696969695</v>
      </c>
      <c r="P536" s="14">
        <f t="shared" si="43"/>
        <v>2735.11</v>
      </c>
      <c r="Q536" s="16">
        <f t="shared" si="44"/>
        <v>23.68265650705689</v>
      </c>
    </row>
    <row r="537" spans="1:17" x14ac:dyDescent="0.2">
      <c r="A537" s="2">
        <v>45702</v>
      </c>
      <c r="B537" s="3" t="s">
        <v>806</v>
      </c>
      <c r="C537" s="3" t="s">
        <v>58</v>
      </c>
      <c r="D537" s="3" t="s">
        <v>37</v>
      </c>
      <c r="E537" s="3" t="s">
        <v>31</v>
      </c>
      <c r="F537" s="3" t="s">
        <v>47</v>
      </c>
      <c r="G537" s="3" t="s">
        <v>17</v>
      </c>
      <c r="H537" s="3">
        <v>2930</v>
      </c>
      <c r="I537" s="3">
        <v>79</v>
      </c>
      <c r="J537" s="3">
        <v>2</v>
      </c>
      <c r="K537" s="12">
        <v>338.96</v>
      </c>
      <c r="L537" s="9">
        <v>387.67</v>
      </c>
      <c r="M537" s="16">
        <f t="shared" si="40"/>
        <v>2.6962457337883959E-2</v>
      </c>
      <c r="N537" s="18">
        <f t="shared" si="41"/>
        <v>2.5316455696202531E-2</v>
      </c>
      <c r="O537" s="8">
        <f t="shared" si="42"/>
        <v>169.48</v>
      </c>
      <c r="P537" s="14">
        <f t="shared" si="43"/>
        <v>48.710000000000036</v>
      </c>
      <c r="Q537" s="16">
        <f t="shared" si="44"/>
        <v>0.14370427189048868</v>
      </c>
    </row>
    <row r="538" spans="1:17" x14ac:dyDescent="0.2">
      <c r="A538" s="2">
        <v>45702</v>
      </c>
      <c r="B538" s="3" t="s">
        <v>419</v>
      </c>
      <c r="C538" s="3" t="s">
        <v>52</v>
      </c>
      <c r="D538" s="3" t="s">
        <v>24</v>
      </c>
      <c r="E538" s="3" t="s">
        <v>31</v>
      </c>
      <c r="F538" s="3" t="s">
        <v>47</v>
      </c>
      <c r="G538" s="3" t="s">
        <v>17</v>
      </c>
      <c r="H538" s="3">
        <v>4500</v>
      </c>
      <c r="I538" s="3">
        <v>524</v>
      </c>
      <c r="J538" s="3">
        <v>62</v>
      </c>
      <c r="K538" s="12">
        <v>251.35</v>
      </c>
      <c r="L538" s="9">
        <v>8346.64</v>
      </c>
      <c r="M538" s="16">
        <f t="shared" si="40"/>
        <v>0.11644444444444445</v>
      </c>
      <c r="N538" s="18">
        <f t="shared" si="41"/>
        <v>0.1183206106870229</v>
      </c>
      <c r="O538" s="8">
        <f t="shared" si="42"/>
        <v>4.0540322580645158</v>
      </c>
      <c r="P538" s="14">
        <f t="shared" si="43"/>
        <v>8095.2899999999991</v>
      </c>
      <c r="Q538" s="16">
        <f t="shared" si="44"/>
        <v>32.207240899144615</v>
      </c>
    </row>
    <row r="539" spans="1:17" x14ac:dyDescent="0.2">
      <c r="A539" s="2">
        <v>45702</v>
      </c>
      <c r="B539" s="3" t="s">
        <v>520</v>
      </c>
      <c r="C539" s="3" t="s">
        <v>45</v>
      </c>
      <c r="D539" s="3" t="s">
        <v>46</v>
      </c>
      <c r="E539" s="3" t="s">
        <v>20</v>
      </c>
      <c r="F539" s="3" t="s">
        <v>50</v>
      </c>
      <c r="G539" s="3" t="s">
        <v>17</v>
      </c>
      <c r="H539" s="3">
        <v>12107</v>
      </c>
      <c r="I539" s="3">
        <v>459</v>
      </c>
      <c r="J539" s="3">
        <v>8</v>
      </c>
      <c r="K539" s="12">
        <v>528.55999999999995</v>
      </c>
      <c r="L539" s="9">
        <v>751.39</v>
      </c>
      <c r="M539" s="16">
        <f t="shared" si="40"/>
        <v>3.7911951763442635E-2</v>
      </c>
      <c r="N539" s="18">
        <f t="shared" si="41"/>
        <v>1.7429193899782137E-2</v>
      </c>
      <c r="O539" s="8">
        <f t="shared" si="42"/>
        <v>66.069999999999993</v>
      </c>
      <c r="P539" s="14">
        <f t="shared" si="43"/>
        <v>222.83000000000004</v>
      </c>
      <c r="Q539" s="16">
        <f t="shared" si="44"/>
        <v>0.42157938550022717</v>
      </c>
    </row>
    <row r="540" spans="1:17" x14ac:dyDescent="0.2">
      <c r="A540" s="2">
        <v>45703</v>
      </c>
      <c r="B540" s="3" t="s">
        <v>807</v>
      </c>
      <c r="C540" s="3" t="s">
        <v>43</v>
      </c>
      <c r="D540" s="3" t="s">
        <v>37</v>
      </c>
      <c r="E540" s="3" t="s">
        <v>20</v>
      </c>
      <c r="F540" s="3" t="s">
        <v>50</v>
      </c>
      <c r="G540" s="3" t="s">
        <v>21</v>
      </c>
      <c r="H540" s="3">
        <v>5130</v>
      </c>
      <c r="I540" s="3">
        <v>136</v>
      </c>
      <c r="J540" s="3">
        <v>3</v>
      </c>
      <c r="K540" s="12">
        <v>957.32</v>
      </c>
      <c r="L540" s="9">
        <v>45.11</v>
      </c>
      <c r="M540" s="16">
        <f t="shared" si="40"/>
        <v>2.6510721247563353E-2</v>
      </c>
      <c r="N540" s="18">
        <f t="shared" si="41"/>
        <v>2.2058823529411766E-2</v>
      </c>
      <c r="O540" s="8">
        <f t="shared" si="42"/>
        <v>319.10666666666668</v>
      </c>
      <c r="P540" s="14">
        <f t="shared" si="43"/>
        <v>-912.21</v>
      </c>
      <c r="Q540" s="16">
        <f t="shared" si="44"/>
        <v>-0.95287887017925044</v>
      </c>
    </row>
    <row r="541" spans="1:17" x14ac:dyDescent="0.2">
      <c r="A541" s="2">
        <v>45703</v>
      </c>
      <c r="B541" s="3" t="s">
        <v>317</v>
      </c>
      <c r="C541" s="3" t="s">
        <v>97</v>
      </c>
      <c r="D541" s="3" t="s">
        <v>46</v>
      </c>
      <c r="E541" s="3" t="s">
        <v>20</v>
      </c>
      <c r="F541" s="3" t="s">
        <v>47</v>
      </c>
      <c r="G541" s="3" t="s">
        <v>17</v>
      </c>
      <c r="H541" s="3">
        <v>8144</v>
      </c>
      <c r="I541" s="3">
        <v>310</v>
      </c>
      <c r="J541" s="3">
        <v>8</v>
      </c>
      <c r="K541" s="12">
        <v>499.82</v>
      </c>
      <c r="L541" s="9">
        <v>431.26</v>
      </c>
      <c r="M541" s="16">
        <f t="shared" si="40"/>
        <v>3.806483300589391E-2</v>
      </c>
      <c r="N541" s="18">
        <f t="shared" si="41"/>
        <v>2.5806451612903226E-2</v>
      </c>
      <c r="O541" s="8">
        <f t="shared" si="42"/>
        <v>62.477499999999999</v>
      </c>
      <c r="P541" s="14">
        <f t="shared" si="43"/>
        <v>-68.56</v>
      </c>
      <c r="Q541" s="16">
        <f t="shared" si="44"/>
        <v>-0.13716938097715178</v>
      </c>
    </row>
    <row r="542" spans="1:17" x14ac:dyDescent="0.2">
      <c r="A542" s="2">
        <v>45703</v>
      </c>
      <c r="B542" s="3" t="s">
        <v>480</v>
      </c>
      <c r="C542" s="3" t="s">
        <v>49</v>
      </c>
      <c r="D542" s="3" t="s">
        <v>46</v>
      </c>
      <c r="E542" s="3" t="s">
        <v>31</v>
      </c>
      <c r="F542" s="3" t="s">
        <v>50</v>
      </c>
      <c r="G542" s="3" t="s">
        <v>21</v>
      </c>
      <c r="H542" s="3">
        <v>17133</v>
      </c>
      <c r="I542" s="3">
        <v>669</v>
      </c>
      <c r="J542" s="3">
        <v>35</v>
      </c>
      <c r="K542" s="12">
        <v>924.25</v>
      </c>
      <c r="L542" s="9">
        <v>2263.1999999999998</v>
      </c>
      <c r="M542" s="16">
        <f t="shared" si="40"/>
        <v>3.9047452285063913E-2</v>
      </c>
      <c r="N542" s="18">
        <f t="shared" si="41"/>
        <v>5.2316890881913304E-2</v>
      </c>
      <c r="O542" s="8">
        <f t="shared" si="42"/>
        <v>26.407142857142858</v>
      </c>
      <c r="P542" s="14">
        <f t="shared" si="43"/>
        <v>1338.9499999999998</v>
      </c>
      <c r="Q542" s="16">
        <f t="shared" si="44"/>
        <v>1.4486881255071677</v>
      </c>
    </row>
    <row r="543" spans="1:17" x14ac:dyDescent="0.2">
      <c r="A543" s="2">
        <v>45703</v>
      </c>
      <c r="B543" s="3" t="s">
        <v>168</v>
      </c>
      <c r="C543" s="3" t="s">
        <v>49</v>
      </c>
      <c r="D543" s="3" t="s">
        <v>46</v>
      </c>
      <c r="E543" s="3" t="s">
        <v>15</v>
      </c>
      <c r="F543" s="3" t="s">
        <v>50</v>
      </c>
      <c r="G543" s="3" t="s">
        <v>21</v>
      </c>
      <c r="H543" s="3">
        <v>9198</v>
      </c>
      <c r="I543" s="3">
        <v>230</v>
      </c>
      <c r="J543" s="3">
        <v>4</v>
      </c>
      <c r="K543" s="12">
        <v>335.75</v>
      </c>
      <c r="L543" s="9">
        <v>343</v>
      </c>
      <c r="M543" s="16">
        <f t="shared" si="40"/>
        <v>2.5005435964340073E-2</v>
      </c>
      <c r="N543" s="18">
        <f t="shared" si="41"/>
        <v>1.7391304347826087E-2</v>
      </c>
      <c r="O543" s="8">
        <f t="shared" si="42"/>
        <v>83.9375</v>
      </c>
      <c r="P543" s="14">
        <f t="shared" si="43"/>
        <v>7.25</v>
      </c>
      <c r="Q543" s="16">
        <f t="shared" si="44"/>
        <v>2.1593447505584513E-2</v>
      </c>
    </row>
    <row r="544" spans="1:17" x14ac:dyDescent="0.2">
      <c r="A544" s="2">
        <v>45703</v>
      </c>
      <c r="B544" s="3" t="s">
        <v>132</v>
      </c>
      <c r="C544" s="3" t="s">
        <v>45</v>
      </c>
      <c r="D544" s="3" t="s">
        <v>46</v>
      </c>
      <c r="E544" s="3" t="s">
        <v>31</v>
      </c>
      <c r="F544" s="3" t="s">
        <v>16</v>
      </c>
      <c r="G544" s="3" t="s">
        <v>21</v>
      </c>
      <c r="H544" s="3">
        <v>17328</v>
      </c>
      <c r="I544" s="3">
        <v>582</v>
      </c>
      <c r="J544" s="3">
        <v>22</v>
      </c>
      <c r="K544" s="12">
        <v>755.81</v>
      </c>
      <c r="L544" s="9">
        <v>2175.29</v>
      </c>
      <c r="M544" s="16">
        <f t="shared" si="40"/>
        <v>3.358725761772853E-2</v>
      </c>
      <c r="N544" s="18">
        <f t="shared" si="41"/>
        <v>3.7800687285223365E-2</v>
      </c>
      <c r="O544" s="8">
        <f t="shared" si="42"/>
        <v>34.354999999999997</v>
      </c>
      <c r="P544" s="14">
        <f t="shared" si="43"/>
        <v>1419.48</v>
      </c>
      <c r="Q544" s="16">
        <f t="shared" si="44"/>
        <v>1.8780910546301322</v>
      </c>
    </row>
    <row r="545" spans="1:17" x14ac:dyDescent="0.2">
      <c r="A545" s="2">
        <v>45703</v>
      </c>
      <c r="B545" s="3" t="s">
        <v>808</v>
      </c>
      <c r="C545" s="3" t="s">
        <v>27</v>
      </c>
      <c r="D545" s="3" t="s">
        <v>28</v>
      </c>
      <c r="E545" s="3" t="s">
        <v>31</v>
      </c>
      <c r="F545" s="3" t="s">
        <v>16</v>
      </c>
      <c r="G545" s="3" t="s">
        <v>21</v>
      </c>
      <c r="H545" s="3">
        <v>22815</v>
      </c>
      <c r="I545" s="3">
        <v>691</v>
      </c>
      <c r="J545" s="3">
        <v>17</v>
      </c>
      <c r="K545" s="12">
        <v>620.04999999999995</v>
      </c>
      <c r="L545" s="9">
        <v>1472.65</v>
      </c>
      <c r="M545" s="16">
        <f t="shared" si="40"/>
        <v>3.0287091825553364E-2</v>
      </c>
      <c r="N545" s="18">
        <f t="shared" si="41"/>
        <v>2.4602026049204053E-2</v>
      </c>
      <c r="O545" s="8">
        <f t="shared" si="42"/>
        <v>36.473529411764702</v>
      </c>
      <c r="P545" s="14">
        <f t="shared" si="43"/>
        <v>852.60000000000014</v>
      </c>
      <c r="Q545" s="16">
        <f t="shared" si="44"/>
        <v>1.3750503991613583</v>
      </c>
    </row>
    <row r="546" spans="1:17" x14ac:dyDescent="0.2">
      <c r="A546" s="2">
        <v>45703</v>
      </c>
      <c r="B546" s="3" t="s">
        <v>263</v>
      </c>
      <c r="C546" s="3" t="s">
        <v>120</v>
      </c>
      <c r="D546" s="3" t="s">
        <v>14</v>
      </c>
      <c r="E546" s="3" t="s">
        <v>15</v>
      </c>
      <c r="F546" s="3" t="s">
        <v>29</v>
      </c>
      <c r="G546" s="3" t="s">
        <v>21</v>
      </c>
      <c r="H546" s="3">
        <v>12915</v>
      </c>
      <c r="I546" s="3">
        <v>504</v>
      </c>
      <c r="J546" s="3">
        <v>7</v>
      </c>
      <c r="K546" s="12">
        <v>1107.1099999999999</v>
      </c>
      <c r="L546" s="9">
        <v>589.61</v>
      </c>
      <c r="M546" s="16">
        <f t="shared" si="40"/>
        <v>3.9024390243902439E-2</v>
      </c>
      <c r="N546" s="18">
        <f t="shared" si="41"/>
        <v>1.3888888888888888E-2</v>
      </c>
      <c r="O546" s="8">
        <f t="shared" si="42"/>
        <v>158.15857142857141</v>
      </c>
      <c r="P546" s="14">
        <f t="shared" si="43"/>
        <v>-517.49999999999989</v>
      </c>
      <c r="Q546" s="16">
        <f t="shared" si="44"/>
        <v>-0.46743322705060919</v>
      </c>
    </row>
    <row r="547" spans="1:17" x14ac:dyDescent="0.2">
      <c r="A547" s="2">
        <v>45703</v>
      </c>
      <c r="B547" s="3" t="s">
        <v>527</v>
      </c>
      <c r="C547" s="3" t="s">
        <v>110</v>
      </c>
      <c r="D547" s="3" t="s">
        <v>24</v>
      </c>
      <c r="E547" s="3" t="s">
        <v>15</v>
      </c>
      <c r="F547" s="3" t="s">
        <v>47</v>
      </c>
      <c r="G547" s="3" t="s">
        <v>17</v>
      </c>
      <c r="H547" s="3">
        <v>2788</v>
      </c>
      <c r="I547" s="3">
        <v>320</v>
      </c>
      <c r="J547" s="3">
        <v>25</v>
      </c>
      <c r="K547" s="12">
        <v>149.1</v>
      </c>
      <c r="L547" s="9">
        <v>3411.3</v>
      </c>
      <c r="M547" s="16">
        <f t="shared" si="40"/>
        <v>0.11477761836441894</v>
      </c>
      <c r="N547" s="18">
        <f t="shared" si="41"/>
        <v>7.8125E-2</v>
      </c>
      <c r="O547" s="8">
        <f t="shared" si="42"/>
        <v>5.9639999999999995</v>
      </c>
      <c r="P547" s="14">
        <f t="shared" si="43"/>
        <v>3262.2000000000003</v>
      </c>
      <c r="Q547" s="16">
        <f t="shared" si="44"/>
        <v>21.879275653923543</v>
      </c>
    </row>
    <row r="548" spans="1:17" x14ac:dyDescent="0.2">
      <c r="A548" s="2">
        <v>45703</v>
      </c>
      <c r="B548" s="3" t="s">
        <v>809</v>
      </c>
      <c r="C548" s="3" t="s">
        <v>33</v>
      </c>
      <c r="D548" s="3" t="s">
        <v>28</v>
      </c>
      <c r="E548" s="3" t="s">
        <v>20</v>
      </c>
      <c r="F548" s="3" t="s">
        <v>47</v>
      </c>
      <c r="G548" s="3" t="s">
        <v>17</v>
      </c>
      <c r="H548" s="3">
        <v>21942</v>
      </c>
      <c r="I548" s="3">
        <v>422</v>
      </c>
      <c r="J548" s="3">
        <v>6</v>
      </c>
      <c r="K548" s="12">
        <v>598.20000000000005</v>
      </c>
      <c r="L548" s="9">
        <v>345.01</v>
      </c>
      <c r="M548" s="16">
        <f t="shared" si="40"/>
        <v>1.9232522103728011E-2</v>
      </c>
      <c r="N548" s="18">
        <f t="shared" si="41"/>
        <v>1.4218009478672985E-2</v>
      </c>
      <c r="O548" s="8">
        <f t="shared" si="42"/>
        <v>99.7</v>
      </c>
      <c r="P548" s="14">
        <f t="shared" si="43"/>
        <v>-253.19000000000005</v>
      </c>
      <c r="Q548" s="16">
        <f t="shared" si="44"/>
        <v>-0.42325309261116689</v>
      </c>
    </row>
    <row r="549" spans="1:17" x14ac:dyDescent="0.2">
      <c r="A549" s="2">
        <v>45703</v>
      </c>
      <c r="B549" s="3" t="s">
        <v>203</v>
      </c>
      <c r="C549" s="3" t="s">
        <v>74</v>
      </c>
      <c r="D549" s="3" t="s">
        <v>28</v>
      </c>
      <c r="E549" s="3" t="s">
        <v>15</v>
      </c>
      <c r="F549" s="3" t="s">
        <v>16</v>
      </c>
      <c r="G549" s="3" t="s">
        <v>17</v>
      </c>
      <c r="H549" s="3">
        <v>28805</v>
      </c>
      <c r="I549" s="3">
        <v>618</v>
      </c>
      <c r="J549" s="3">
        <v>4</v>
      </c>
      <c r="K549" s="12">
        <v>852.61</v>
      </c>
      <c r="L549" s="9">
        <v>81.77</v>
      </c>
      <c r="M549" s="16">
        <f t="shared" si="40"/>
        <v>2.145460857490019E-2</v>
      </c>
      <c r="N549" s="18">
        <f t="shared" si="41"/>
        <v>6.4724919093851136E-3</v>
      </c>
      <c r="O549" s="8">
        <f t="shared" si="42"/>
        <v>213.1525</v>
      </c>
      <c r="P549" s="14">
        <f t="shared" si="43"/>
        <v>-770.84</v>
      </c>
      <c r="Q549" s="16">
        <f t="shared" si="44"/>
        <v>-0.90409448634193834</v>
      </c>
    </row>
    <row r="550" spans="1:17" x14ac:dyDescent="0.2">
      <c r="A550" s="2">
        <v>45703</v>
      </c>
      <c r="B550" s="3" t="s">
        <v>810</v>
      </c>
      <c r="C550" s="3" t="s">
        <v>33</v>
      </c>
      <c r="D550" s="3" t="s">
        <v>28</v>
      </c>
      <c r="E550" s="3" t="s">
        <v>20</v>
      </c>
      <c r="F550" s="3" t="s">
        <v>16</v>
      </c>
      <c r="G550" s="3" t="s">
        <v>21</v>
      </c>
      <c r="H550" s="3">
        <v>28359</v>
      </c>
      <c r="I550" s="3">
        <v>453</v>
      </c>
      <c r="J550" s="3">
        <v>7</v>
      </c>
      <c r="K550" s="12">
        <v>348.52</v>
      </c>
      <c r="L550" s="9">
        <v>516.23</v>
      </c>
      <c r="M550" s="16">
        <f t="shared" si="40"/>
        <v>1.5973764942346345E-2</v>
      </c>
      <c r="N550" s="18">
        <f t="shared" si="41"/>
        <v>1.5452538631346579E-2</v>
      </c>
      <c r="O550" s="8">
        <f t="shared" si="42"/>
        <v>49.788571428571423</v>
      </c>
      <c r="P550" s="14">
        <f t="shared" si="43"/>
        <v>167.71000000000004</v>
      </c>
      <c r="Q550" s="16">
        <f t="shared" si="44"/>
        <v>0.48120624354412961</v>
      </c>
    </row>
    <row r="551" spans="1:17" x14ac:dyDescent="0.2">
      <c r="A551" s="2">
        <v>45703</v>
      </c>
      <c r="B551" s="3" t="s">
        <v>811</v>
      </c>
      <c r="C551" s="3" t="s">
        <v>41</v>
      </c>
      <c r="D551" s="3" t="s">
        <v>24</v>
      </c>
      <c r="E551" s="3" t="s">
        <v>15</v>
      </c>
      <c r="F551" s="3" t="s">
        <v>29</v>
      </c>
      <c r="G551" s="3" t="s">
        <v>17</v>
      </c>
      <c r="H551" s="3">
        <v>3194</v>
      </c>
      <c r="I551" s="3">
        <v>371</v>
      </c>
      <c r="J551" s="3">
        <v>32</v>
      </c>
      <c r="K551" s="12">
        <v>150.63</v>
      </c>
      <c r="L551" s="9">
        <v>3954.18</v>
      </c>
      <c r="M551" s="16">
        <f t="shared" si="40"/>
        <v>0.11615529117094553</v>
      </c>
      <c r="N551" s="18">
        <f t="shared" si="41"/>
        <v>8.6253369272237201E-2</v>
      </c>
      <c r="O551" s="8">
        <f t="shared" si="42"/>
        <v>4.7071874999999999</v>
      </c>
      <c r="P551" s="14">
        <f t="shared" si="43"/>
        <v>3803.5499999999997</v>
      </c>
      <c r="Q551" s="16">
        <f t="shared" si="44"/>
        <v>25.25094602668791</v>
      </c>
    </row>
    <row r="552" spans="1:17" x14ac:dyDescent="0.2">
      <c r="A552" s="2">
        <v>45704</v>
      </c>
      <c r="B552" s="3" t="s">
        <v>812</v>
      </c>
      <c r="C552" s="3" t="s">
        <v>36</v>
      </c>
      <c r="D552" s="3" t="s">
        <v>37</v>
      </c>
      <c r="E552" s="3" t="s">
        <v>15</v>
      </c>
      <c r="F552" s="3" t="s">
        <v>47</v>
      </c>
      <c r="G552" s="3" t="s">
        <v>21</v>
      </c>
      <c r="H552" s="3">
        <v>6738</v>
      </c>
      <c r="I552" s="3">
        <v>166</v>
      </c>
      <c r="J552" s="3">
        <v>2</v>
      </c>
      <c r="K552" s="12">
        <v>1020.41</v>
      </c>
      <c r="L552" s="9">
        <v>362.51</v>
      </c>
      <c r="M552" s="16">
        <f t="shared" si="40"/>
        <v>2.4636390620362124E-2</v>
      </c>
      <c r="N552" s="18">
        <f t="shared" si="41"/>
        <v>1.2048192771084338E-2</v>
      </c>
      <c r="O552" s="8">
        <f t="shared" si="42"/>
        <v>510.20499999999998</v>
      </c>
      <c r="P552" s="14">
        <f t="shared" si="43"/>
        <v>-657.9</v>
      </c>
      <c r="Q552" s="16">
        <f t="shared" si="44"/>
        <v>-0.64474083946648897</v>
      </c>
    </row>
    <row r="553" spans="1:17" x14ac:dyDescent="0.2">
      <c r="A553" s="2">
        <v>45704</v>
      </c>
      <c r="B553" s="3" t="s">
        <v>813</v>
      </c>
      <c r="C553" s="3" t="s">
        <v>36</v>
      </c>
      <c r="D553" s="3" t="s">
        <v>37</v>
      </c>
      <c r="E553" s="3" t="s">
        <v>20</v>
      </c>
      <c r="F553" s="3" t="s">
        <v>47</v>
      </c>
      <c r="G553" s="3" t="s">
        <v>17</v>
      </c>
      <c r="H553" s="3">
        <v>2161</v>
      </c>
      <c r="I553" s="3">
        <v>103</v>
      </c>
      <c r="J553" s="3">
        <v>2</v>
      </c>
      <c r="K553" s="12">
        <v>495.07</v>
      </c>
      <c r="L553" s="9">
        <v>306.68</v>
      </c>
      <c r="M553" s="16">
        <f t="shared" si="40"/>
        <v>4.766311892642295E-2</v>
      </c>
      <c r="N553" s="18">
        <f t="shared" si="41"/>
        <v>1.9417475728155338E-2</v>
      </c>
      <c r="O553" s="8">
        <f t="shared" si="42"/>
        <v>247.535</v>
      </c>
      <c r="P553" s="14">
        <f t="shared" si="43"/>
        <v>-188.39</v>
      </c>
      <c r="Q553" s="16">
        <f t="shared" si="44"/>
        <v>-0.38053204597329671</v>
      </c>
    </row>
    <row r="554" spans="1:17" x14ac:dyDescent="0.2">
      <c r="A554" s="2">
        <v>45704</v>
      </c>
      <c r="B554" s="3" t="s">
        <v>218</v>
      </c>
      <c r="C554" s="3" t="s">
        <v>41</v>
      </c>
      <c r="D554" s="3" t="s">
        <v>24</v>
      </c>
      <c r="E554" s="3" t="s">
        <v>15</v>
      </c>
      <c r="F554" s="3" t="s">
        <v>34</v>
      </c>
      <c r="G554" s="3" t="s">
        <v>21</v>
      </c>
      <c r="H554" s="3">
        <v>1704</v>
      </c>
      <c r="I554" s="3">
        <v>120</v>
      </c>
      <c r="J554" s="3">
        <v>10</v>
      </c>
      <c r="K554" s="12">
        <v>24.69</v>
      </c>
      <c r="L554" s="9">
        <v>1047.53</v>
      </c>
      <c r="M554" s="16">
        <f t="shared" si="40"/>
        <v>7.0422535211267609E-2</v>
      </c>
      <c r="N554" s="18">
        <f t="shared" si="41"/>
        <v>8.3333333333333329E-2</v>
      </c>
      <c r="O554" s="8">
        <f t="shared" si="42"/>
        <v>2.4690000000000003</v>
      </c>
      <c r="P554" s="14">
        <f t="shared" si="43"/>
        <v>1022.8399999999999</v>
      </c>
      <c r="Q554" s="16">
        <f t="shared" si="44"/>
        <v>41.427298501417575</v>
      </c>
    </row>
    <row r="555" spans="1:17" x14ac:dyDescent="0.2">
      <c r="A555" s="2">
        <v>45704</v>
      </c>
      <c r="B555" s="3" t="s">
        <v>276</v>
      </c>
      <c r="C555" s="3" t="s">
        <v>52</v>
      </c>
      <c r="D555" s="3" t="s">
        <v>24</v>
      </c>
      <c r="E555" s="3" t="s">
        <v>31</v>
      </c>
      <c r="F555" s="3" t="s">
        <v>50</v>
      </c>
      <c r="G555" s="3" t="s">
        <v>21</v>
      </c>
      <c r="H555" s="3">
        <v>2608</v>
      </c>
      <c r="I555" s="3">
        <v>247</v>
      </c>
      <c r="J555" s="3">
        <v>51</v>
      </c>
      <c r="K555" s="12">
        <v>65.08</v>
      </c>
      <c r="L555" s="9">
        <v>7014.24</v>
      </c>
      <c r="M555" s="16">
        <f t="shared" si="40"/>
        <v>9.4708588957055209E-2</v>
      </c>
      <c r="N555" s="18">
        <f t="shared" si="41"/>
        <v>0.20647773279352227</v>
      </c>
      <c r="O555" s="8">
        <f t="shared" si="42"/>
        <v>1.2760784313725491</v>
      </c>
      <c r="P555" s="14">
        <f t="shared" si="43"/>
        <v>6949.16</v>
      </c>
      <c r="Q555" s="16">
        <f t="shared" si="44"/>
        <v>106.77873386601107</v>
      </c>
    </row>
    <row r="556" spans="1:17" x14ac:dyDescent="0.2">
      <c r="A556" s="2">
        <v>45704</v>
      </c>
      <c r="B556" s="3" t="s">
        <v>176</v>
      </c>
      <c r="C556" s="3" t="s">
        <v>19</v>
      </c>
      <c r="D556" s="3" t="s">
        <v>14</v>
      </c>
      <c r="E556" s="3" t="s">
        <v>20</v>
      </c>
      <c r="F556" s="3" t="s">
        <v>50</v>
      </c>
      <c r="G556" s="3" t="s">
        <v>25</v>
      </c>
      <c r="H556" s="3">
        <v>6653</v>
      </c>
      <c r="I556" s="3">
        <v>244</v>
      </c>
      <c r="J556" s="3">
        <v>11</v>
      </c>
      <c r="K556" s="12">
        <v>673.16</v>
      </c>
      <c r="L556" s="9">
        <v>855.38</v>
      </c>
      <c r="M556" s="16">
        <f t="shared" si="40"/>
        <v>3.6675184127461298E-2</v>
      </c>
      <c r="N556" s="18">
        <f t="shared" si="41"/>
        <v>4.5081967213114756E-2</v>
      </c>
      <c r="O556" s="8">
        <f t="shared" si="42"/>
        <v>61.196363636363635</v>
      </c>
      <c r="P556" s="14">
        <f t="shared" si="43"/>
        <v>182.22000000000003</v>
      </c>
      <c r="Q556" s="16">
        <f t="shared" si="44"/>
        <v>0.2706934458375424</v>
      </c>
    </row>
    <row r="557" spans="1:17" x14ac:dyDescent="0.2">
      <c r="A557" s="2">
        <v>45704</v>
      </c>
      <c r="B557" s="3" t="s">
        <v>449</v>
      </c>
      <c r="C557" s="3" t="s">
        <v>45</v>
      </c>
      <c r="D557" s="3" t="s">
        <v>46</v>
      </c>
      <c r="E557" s="3" t="s">
        <v>31</v>
      </c>
      <c r="F557" s="3" t="s">
        <v>34</v>
      </c>
      <c r="G557" s="3" t="s">
        <v>17</v>
      </c>
      <c r="H557" s="3">
        <v>14401</v>
      </c>
      <c r="I557" s="3">
        <v>636</v>
      </c>
      <c r="J557" s="3">
        <v>20</v>
      </c>
      <c r="K557" s="12">
        <v>1120.42</v>
      </c>
      <c r="L557" s="9">
        <v>1086.19</v>
      </c>
      <c r="M557" s="16">
        <f t="shared" si="40"/>
        <v>4.4163599750017359E-2</v>
      </c>
      <c r="N557" s="18">
        <f t="shared" si="41"/>
        <v>3.1446540880503145E-2</v>
      </c>
      <c r="O557" s="8">
        <f t="shared" si="42"/>
        <v>56.021000000000001</v>
      </c>
      <c r="P557" s="14">
        <f t="shared" si="43"/>
        <v>-34.230000000000018</v>
      </c>
      <c r="Q557" s="16">
        <f t="shared" si="44"/>
        <v>-3.0551043358740485E-2</v>
      </c>
    </row>
    <row r="558" spans="1:17" x14ac:dyDescent="0.2">
      <c r="A558" s="2">
        <v>45704</v>
      </c>
      <c r="B558" s="3" t="s">
        <v>814</v>
      </c>
      <c r="C558" s="3" t="s">
        <v>19</v>
      </c>
      <c r="D558" s="3" t="s">
        <v>14</v>
      </c>
      <c r="E558" s="3" t="s">
        <v>20</v>
      </c>
      <c r="F558" s="3" t="s">
        <v>29</v>
      </c>
      <c r="G558" s="3" t="s">
        <v>21</v>
      </c>
      <c r="H558" s="3">
        <v>11136</v>
      </c>
      <c r="I558" s="3">
        <v>366</v>
      </c>
      <c r="J558" s="3">
        <v>13</v>
      </c>
      <c r="K558" s="12">
        <v>612.32000000000005</v>
      </c>
      <c r="L558" s="9">
        <v>1012.99</v>
      </c>
      <c r="M558" s="16">
        <f t="shared" si="40"/>
        <v>3.2866379310344827E-2</v>
      </c>
      <c r="N558" s="18">
        <f t="shared" si="41"/>
        <v>3.5519125683060107E-2</v>
      </c>
      <c r="O558" s="8">
        <f t="shared" si="42"/>
        <v>47.101538461538468</v>
      </c>
      <c r="P558" s="14">
        <f t="shared" si="43"/>
        <v>400.66999999999996</v>
      </c>
      <c r="Q558" s="16">
        <f t="shared" si="44"/>
        <v>0.65434740005226011</v>
      </c>
    </row>
    <row r="559" spans="1:17" x14ac:dyDescent="0.2">
      <c r="A559" s="2">
        <v>45704</v>
      </c>
      <c r="B559" s="3" t="s">
        <v>18</v>
      </c>
      <c r="C559" s="3" t="s">
        <v>27</v>
      </c>
      <c r="D559" s="3" t="s">
        <v>28</v>
      </c>
      <c r="E559" s="3" t="s">
        <v>15</v>
      </c>
      <c r="F559" s="3" t="s">
        <v>34</v>
      </c>
      <c r="G559" s="3" t="s">
        <v>17</v>
      </c>
      <c r="H559" s="3">
        <v>18202</v>
      </c>
      <c r="I559" s="3">
        <v>377</v>
      </c>
      <c r="J559" s="3">
        <v>4</v>
      </c>
      <c r="K559" s="12">
        <v>492.79</v>
      </c>
      <c r="L559" s="9">
        <v>219.4</v>
      </c>
      <c r="M559" s="16">
        <f t="shared" si="40"/>
        <v>2.0712009669267114E-2</v>
      </c>
      <c r="N559" s="18">
        <f t="shared" si="41"/>
        <v>1.0610079575596816E-2</v>
      </c>
      <c r="O559" s="8">
        <f t="shared" si="42"/>
        <v>123.19750000000001</v>
      </c>
      <c r="P559" s="14">
        <f t="shared" si="43"/>
        <v>-273.39</v>
      </c>
      <c r="Q559" s="16">
        <f t="shared" si="44"/>
        <v>-0.55477992654071706</v>
      </c>
    </row>
    <row r="560" spans="1:17" x14ac:dyDescent="0.2">
      <c r="A560" s="2">
        <v>45704</v>
      </c>
      <c r="B560" s="3" t="s">
        <v>539</v>
      </c>
      <c r="C560" s="3" t="s">
        <v>120</v>
      </c>
      <c r="D560" s="3" t="s">
        <v>14</v>
      </c>
      <c r="E560" s="3" t="s">
        <v>20</v>
      </c>
      <c r="F560" s="3" t="s">
        <v>29</v>
      </c>
      <c r="G560" s="3" t="s">
        <v>21</v>
      </c>
      <c r="H560" s="3">
        <v>12111</v>
      </c>
      <c r="I560" s="3">
        <v>501</v>
      </c>
      <c r="J560" s="3">
        <v>18</v>
      </c>
      <c r="K560" s="12">
        <v>1334.62</v>
      </c>
      <c r="L560" s="9">
        <v>2110.0700000000002</v>
      </c>
      <c r="M560" s="16">
        <f t="shared" si="40"/>
        <v>4.1367351994054995E-2</v>
      </c>
      <c r="N560" s="18">
        <f t="shared" si="41"/>
        <v>3.5928143712574849E-2</v>
      </c>
      <c r="O560" s="8">
        <f t="shared" si="42"/>
        <v>74.145555555555546</v>
      </c>
      <c r="P560" s="14">
        <f t="shared" si="43"/>
        <v>775.45000000000027</v>
      </c>
      <c r="Q560" s="16">
        <f t="shared" si="44"/>
        <v>0.58102680912919058</v>
      </c>
    </row>
    <row r="561" spans="1:17" x14ac:dyDescent="0.2">
      <c r="A561" s="2">
        <v>45704</v>
      </c>
      <c r="B561" s="3" t="s">
        <v>815</v>
      </c>
      <c r="C561" s="3" t="s">
        <v>33</v>
      </c>
      <c r="D561" s="3" t="s">
        <v>28</v>
      </c>
      <c r="E561" s="3" t="s">
        <v>31</v>
      </c>
      <c r="F561" s="3" t="s">
        <v>29</v>
      </c>
      <c r="G561" s="3" t="s">
        <v>17</v>
      </c>
      <c r="H561" s="3">
        <v>29972</v>
      </c>
      <c r="I561" s="3">
        <v>609</v>
      </c>
      <c r="J561" s="3">
        <v>9</v>
      </c>
      <c r="K561" s="12">
        <v>567.96</v>
      </c>
      <c r="L561" s="9">
        <v>682.12</v>
      </c>
      <c r="M561" s="16">
        <f t="shared" si="40"/>
        <v>2.0318964366742291E-2</v>
      </c>
      <c r="N561" s="18">
        <f t="shared" si="41"/>
        <v>1.4778325123152709E-2</v>
      </c>
      <c r="O561" s="8">
        <f t="shared" si="42"/>
        <v>63.106666666666669</v>
      </c>
      <c r="P561" s="14">
        <f t="shared" si="43"/>
        <v>114.15999999999997</v>
      </c>
      <c r="Q561" s="16">
        <f t="shared" si="44"/>
        <v>0.20100007042749482</v>
      </c>
    </row>
    <row r="562" spans="1:17" x14ac:dyDescent="0.2">
      <c r="A562" s="2">
        <v>45705</v>
      </c>
      <c r="B562" s="3" t="s">
        <v>137</v>
      </c>
      <c r="C562" s="3" t="s">
        <v>71</v>
      </c>
      <c r="D562" s="3" t="s">
        <v>37</v>
      </c>
      <c r="E562" s="3" t="s">
        <v>31</v>
      </c>
      <c r="F562" s="3" t="s">
        <v>34</v>
      </c>
      <c r="G562" s="3" t="s">
        <v>21</v>
      </c>
      <c r="H562" s="3">
        <v>3740</v>
      </c>
      <c r="I562" s="3">
        <v>174</v>
      </c>
      <c r="J562" s="3">
        <v>5</v>
      </c>
      <c r="K562" s="12">
        <v>842.91</v>
      </c>
      <c r="L562" s="9">
        <v>1039.96</v>
      </c>
      <c r="M562" s="16">
        <f t="shared" si="40"/>
        <v>4.6524064171122995E-2</v>
      </c>
      <c r="N562" s="18">
        <f t="shared" si="41"/>
        <v>2.8735632183908046E-2</v>
      </c>
      <c r="O562" s="8">
        <f t="shared" si="42"/>
        <v>168.58199999999999</v>
      </c>
      <c r="P562" s="14">
        <f t="shared" si="43"/>
        <v>197.05000000000007</v>
      </c>
      <c r="Q562" s="16">
        <f t="shared" si="44"/>
        <v>0.23377347522274036</v>
      </c>
    </row>
    <row r="563" spans="1:17" x14ac:dyDescent="0.2">
      <c r="A563" s="2">
        <v>45705</v>
      </c>
      <c r="B563" s="3" t="s">
        <v>816</v>
      </c>
      <c r="C563" s="3" t="s">
        <v>23</v>
      </c>
      <c r="D563" s="3" t="s">
        <v>24</v>
      </c>
      <c r="E563" s="3" t="s">
        <v>31</v>
      </c>
      <c r="F563" s="3" t="s">
        <v>34</v>
      </c>
      <c r="G563" s="3" t="s">
        <v>17</v>
      </c>
      <c r="H563" s="3">
        <v>1110</v>
      </c>
      <c r="I563" s="3">
        <v>172</v>
      </c>
      <c r="J563" s="3">
        <v>37</v>
      </c>
      <c r="K563" s="12">
        <v>35.68</v>
      </c>
      <c r="L563" s="9">
        <v>5374.01</v>
      </c>
      <c r="M563" s="16">
        <f t="shared" si="40"/>
        <v>0.15495495495495495</v>
      </c>
      <c r="N563" s="18">
        <f t="shared" si="41"/>
        <v>0.21511627906976744</v>
      </c>
      <c r="O563" s="8">
        <f t="shared" si="42"/>
        <v>0.96432432432432436</v>
      </c>
      <c r="P563" s="14">
        <f t="shared" si="43"/>
        <v>5338.33</v>
      </c>
      <c r="Q563" s="16">
        <f t="shared" si="44"/>
        <v>149.61687219730942</v>
      </c>
    </row>
    <row r="564" spans="1:17" x14ac:dyDescent="0.2">
      <c r="A564" s="2">
        <v>45705</v>
      </c>
      <c r="B564" s="3" t="s">
        <v>513</v>
      </c>
      <c r="C564" s="3" t="s">
        <v>97</v>
      </c>
      <c r="D564" s="3" t="s">
        <v>46</v>
      </c>
      <c r="E564" s="3" t="s">
        <v>15</v>
      </c>
      <c r="F564" s="3" t="s">
        <v>47</v>
      </c>
      <c r="G564" s="3" t="s">
        <v>17</v>
      </c>
      <c r="H564" s="3">
        <v>8435</v>
      </c>
      <c r="I564" s="3">
        <v>309</v>
      </c>
      <c r="J564" s="3">
        <v>4</v>
      </c>
      <c r="K564" s="12">
        <v>324.62</v>
      </c>
      <c r="L564" s="9">
        <v>363.93</v>
      </c>
      <c r="M564" s="16">
        <f t="shared" si="40"/>
        <v>3.6633076467101365E-2</v>
      </c>
      <c r="N564" s="18">
        <f t="shared" si="41"/>
        <v>1.2944983818770227E-2</v>
      </c>
      <c r="O564" s="8">
        <f t="shared" si="42"/>
        <v>81.155000000000001</v>
      </c>
      <c r="P564" s="14">
        <f t="shared" si="43"/>
        <v>39.31</v>
      </c>
      <c r="Q564" s="16">
        <f t="shared" si="44"/>
        <v>0.12109543466206642</v>
      </c>
    </row>
    <row r="565" spans="1:17" x14ac:dyDescent="0.2">
      <c r="A565" s="2">
        <v>45705</v>
      </c>
      <c r="B565" s="3" t="s">
        <v>817</v>
      </c>
      <c r="C565" s="3" t="s">
        <v>41</v>
      </c>
      <c r="D565" s="3" t="s">
        <v>24</v>
      </c>
      <c r="E565" s="3" t="s">
        <v>31</v>
      </c>
      <c r="F565" s="3" t="s">
        <v>34</v>
      </c>
      <c r="G565" s="3" t="s">
        <v>17</v>
      </c>
      <c r="H565" s="3">
        <v>3872</v>
      </c>
      <c r="I565" s="3">
        <v>449</v>
      </c>
      <c r="J565" s="3">
        <v>55</v>
      </c>
      <c r="K565" s="12">
        <v>187.71</v>
      </c>
      <c r="L565" s="9">
        <v>5995.49</v>
      </c>
      <c r="M565" s="16">
        <f t="shared" si="40"/>
        <v>0.11596074380165289</v>
      </c>
      <c r="N565" s="18">
        <f t="shared" si="41"/>
        <v>0.12249443207126949</v>
      </c>
      <c r="O565" s="8">
        <f t="shared" si="42"/>
        <v>3.4129090909090909</v>
      </c>
      <c r="P565" s="14">
        <f t="shared" si="43"/>
        <v>5807.78</v>
      </c>
      <c r="Q565" s="16">
        <f t="shared" si="44"/>
        <v>30.940173672153851</v>
      </c>
    </row>
    <row r="566" spans="1:17" x14ac:dyDescent="0.2">
      <c r="A566" s="2">
        <v>45705</v>
      </c>
      <c r="B566" s="3" t="s">
        <v>818</v>
      </c>
      <c r="C566" s="3" t="s">
        <v>58</v>
      </c>
      <c r="D566" s="3" t="s">
        <v>37</v>
      </c>
      <c r="E566" s="3" t="s">
        <v>15</v>
      </c>
      <c r="F566" s="3" t="s">
        <v>47</v>
      </c>
      <c r="G566" s="3" t="s">
        <v>17</v>
      </c>
      <c r="H566" s="3">
        <v>3374</v>
      </c>
      <c r="I566" s="3">
        <v>158</v>
      </c>
      <c r="J566" s="3">
        <v>2</v>
      </c>
      <c r="K566" s="12">
        <v>703.61</v>
      </c>
      <c r="L566" s="9">
        <v>80.83</v>
      </c>
      <c r="M566" s="16">
        <f t="shared" si="40"/>
        <v>4.6828689982216953E-2</v>
      </c>
      <c r="N566" s="18">
        <f t="shared" si="41"/>
        <v>1.2658227848101266E-2</v>
      </c>
      <c r="O566" s="8">
        <f t="shared" si="42"/>
        <v>351.80500000000001</v>
      </c>
      <c r="P566" s="14">
        <f t="shared" si="43"/>
        <v>-622.78</v>
      </c>
      <c r="Q566" s="16">
        <f t="shared" si="44"/>
        <v>-0.88512101874618032</v>
      </c>
    </row>
    <row r="567" spans="1:17" x14ac:dyDescent="0.2">
      <c r="A567" s="2">
        <v>45705</v>
      </c>
      <c r="B567" s="3" t="s">
        <v>514</v>
      </c>
      <c r="C567" s="3" t="s">
        <v>19</v>
      </c>
      <c r="D567" s="3" t="s">
        <v>14</v>
      </c>
      <c r="E567" s="3" t="s">
        <v>20</v>
      </c>
      <c r="F567" s="3" t="s">
        <v>50</v>
      </c>
      <c r="G567" s="3" t="s">
        <v>17</v>
      </c>
      <c r="H567" s="3">
        <v>9549</v>
      </c>
      <c r="I567" s="3">
        <v>655</v>
      </c>
      <c r="J567" s="3">
        <v>28</v>
      </c>
      <c r="K567" s="12">
        <v>1621.36</v>
      </c>
      <c r="L567" s="9">
        <v>2020.5</v>
      </c>
      <c r="M567" s="16">
        <f t="shared" si="40"/>
        <v>6.8593570007330615E-2</v>
      </c>
      <c r="N567" s="18">
        <f t="shared" si="41"/>
        <v>4.2748091603053436E-2</v>
      </c>
      <c r="O567" s="8">
        <f t="shared" si="42"/>
        <v>57.905714285714282</v>
      </c>
      <c r="P567" s="14">
        <f t="shared" si="43"/>
        <v>399.1400000000001</v>
      </c>
      <c r="Q567" s="16">
        <f t="shared" si="44"/>
        <v>0.24617604973602417</v>
      </c>
    </row>
    <row r="568" spans="1:17" x14ac:dyDescent="0.2">
      <c r="A568" s="2">
        <v>45705</v>
      </c>
      <c r="B568" s="3" t="s">
        <v>362</v>
      </c>
      <c r="C568" s="3" t="s">
        <v>52</v>
      </c>
      <c r="D568" s="3" t="s">
        <v>24</v>
      </c>
      <c r="E568" s="3" t="s">
        <v>31</v>
      </c>
      <c r="F568" s="3" t="s">
        <v>34</v>
      </c>
      <c r="G568" s="3" t="s">
        <v>17</v>
      </c>
      <c r="H568" s="3">
        <v>4477</v>
      </c>
      <c r="I568" s="3">
        <v>457</v>
      </c>
      <c r="J568" s="3">
        <v>67</v>
      </c>
      <c r="K568" s="12">
        <v>171.28</v>
      </c>
      <c r="L568" s="9">
        <v>7697.39</v>
      </c>
      <c r="M568" s="16">
        <f t="shared" si="40"/>
        <v>0.10207728389546572</v>
      </c>
      <c r="N568" s="18">
        <f t="shared" si="41"/>
        <v>0.14660831509846828</v>
      </c>
      <c r="O568" s="8">
        <f t="shared" si="42"/>
        <v>2.5564179104477613</v>
      </c>
      <c r="P568" s="14">
        <f t="shared" si="43"/>
        <v>7526.1100000000006</v>
      </c>
      <c r="Q568" s="16">
        <f t="shared" si="44"/>
        <v>43.940390004670718</v>
      </c>
    </row>
    <row r="569" spans="1:17" x14ac:dyDescent="0.2">
      <c r="A569" s="2">
        <v>45705</v>
      </c>
      <c r="B569" s="3" t="s">
        <v>471</v>
      </c>
      <c r="C569" s="3" t="s">
        <v>13</v>
      </c>
      <c r="D569" s="3" t="s">
        <v>14</v>
      </c>
      <c r="E569" s="3" t="s">
        <v>31</v>
      </c>
      <c r="F569" s="3" t="s">
        <v>47</v>
      </c>
      <c r="G569" s="3" t="s">
        <v>21</v>
      </c>
      <c r="H569" s="3">
        <v>14641</v>
      </c>
      <c r="I569" s="3">
        <v>920</v>
      </c>
      <c r="J569" s="3">
        <v>76</v>
      </c>
      <c r="K569" s="12">
        <v>1919.57</v>
      </c>
      <c r="L569" s="9">
        <v>8098.93</v>
      </c>
      <c r="M569" s="16">
        <f t="shared" si="40"/>
        <v>6.2837237893586501E-2</v>
      </c>
      <c r="N569" s="18">
        <f t="shared" si="41"/>
        <v>8.2608695652173908E-2</v>
      </c>
      <c r="O569" s="8">
        <f t="shared" si="42"/>
        <v>25.2575</v>
      </c>
      <c r="P569" s="14">
        <f t="shared" si="43"/>
        <v>6179.3600000000006</v>
      </c>
      <c r="Q569" s="16">
        <f t="shared" si="44"/>
        <v>3.21913761936267</v>
      </c>
    </row>
    <row r="570" spans="1:17" x14ac:dyDescent="0.2">
      <c r="A570" s="2">
        <v>45705</v>
      </c>
      <c r="B570" s="3" t="s">
        <v>819</v>
      </c>
      <c r="C570" s="3" t="s">
        <v>71</v>
      </c>
      <c r="D570" s="3" t="s">
        <v>37</v>
      </c>
      <c r="E570" s="3" t="s">
        <v>31</v>
      </c>
      <c r="F570" s="3" t="s">
        <v>50</v>
      </c>
      <c r="G570" s="3" t="s">
        <v>25</v>
      </c>
      <c r="H570" s="3">
        <v>6573</v>
      </c>
      <c r="I570" s="3">
        <v>270</v>
      </c>
      <c r="J570" s="3">
        <v>11</v>
      </c>
      <c r="K570" s="12">
        <v>2274.59</v>
      </c>
      <c r="L570" s="9">
        <v>2136.0500000000002</v>
      </c>
      <c r="M570" s="16">
        <f t="shared" si="40"/>
        <v>4.1077133728890915E-2</v>
      </c>
      <c r="N570" s="18">
        <f t="shared" si="41"/>
        <v>4.0740740740740744E-2</v>
      </c>
      <c r="O570" s="8">
        <f t="shared" si="42"/>
        <v>206.78090909090909</v>
      </c>
      <c r="P570" s="14">
        <f t="shared" si="43"/>
        <v>-138.53999999999996</v>
      </c>
      <c r="Q570" s="16">
        <f t="shared" si="44"/>
        <v>-6.0907680065418364E-2</v>
      </c>
    </row>
    <row r="571" spans="1:17" x14ac:dyDescent="0.2">
      <c r="A571" s="2">
        <v>45705</v>
      </c>
      <c r="B571" s="3" t="s">
        <v>227</v>
      </c>
      <c r="C571" s="3" t="s">
        <v>52</v>
      </c>
      <c r="D571" s="3" t="s">
        <v>24</v>
      </c>
      <c r="E571" s="3" t="s">
        <v>20</v>
      </c>
      <c r="F571" s="3" t="s">
        <v>29</v>
      </c>
      <c r="G571" s="3" t="s">
        <v>17</v>
      </c>
      <c r="H571" s="3">
        <v>2029</v>
      </c>
      <c r="I571" s="3">
        <v>317</v>
      </c>
      <c r="J571" s="3">
        <v>37</v>
      </c>
      <c r="K571" s="12">
        <v>67.03</v>
      </c>
      <c r="L571" s="9">
        <v>5408.9</v>
      </c>
      <c r="M571" s="16">
        <f t="shared" si="40"/>
        <v>0.15623459832429767</v>
      </c>
      <c r="N571" s="18">
        <f t="shared" si="41"/>
        <v>0.1167192429022082</v>
      </c>
      <c r="O571" s="8">
        <f t="shared" si="42"/>
        <v>1.8116216216216217</v>
      </c>
      <c r="P571" s="14">
        <f t="shared" si="43"/>
        <v>5341.87</v>
      </c>
      <c r="Q571" s="16">
        <f t="shared" si="44"/>
        <v>79.693719230195427</v>
      </c>
    </row>
    <row r="572" spans="1:17" x14ac:dyDescent="0.2">
      <c r="A572" s="2">
        <v>45705</v>
      </c>
      <c r="B572" s="3" t="s">
        <v>226</v>
      </c>
      <c r="C572" s="3" t="s">
        <v>156</v>
      </c>
      <c r="D572" s="3" t="s">
        <v>46</v>
      </c>
      <c r="E572" s="3" t="s">
        <v>20</v>
      </c>
      <c r="F572" s="3" t="s">
        <v>50</v>
      </c>
      <c r="G572" s="3" t="s">
        <v>21</v>
      </c>
      <c r="H572" s="3">
        <v>9135</v>
      </c>
      <c r="I572" s="3">
        <v>230</v>
      </c>
      <c r="J572" s="3">
        <v>7</v>
      </c>
      <c r="K572" s="12">
        <v>380.98</v>
      </c>
      <c r="L572" s="9">
        <v>645.16</v>
      </c>
      <c r="M572" s="16">
        <f t="shared" si="40"/>
        <v>2.5177887246852763E-2</v>
      </c>
      <c r="N572" s="18">
        <f t="shared" si="41"/>
        <v>3.0434782608695653E-2</v>
      </c>
      <c r="O572" s="8">
        <f t="shared" si="42"/>
        <v>54.425714285714285</v>
      </c>
      <c r="P572" s="14">
        <f t="shared" si="43"/>
        <v>264.17999999999995</v>
      </c>
      <c r="Q572" s="16">
        <f t="shared" si="44"/>
        <v>0.69342222688855037</v>
      </c>
    </row>
    <row r="573" spans="1:17" x14ac:dyDescent="0.2">
      <c r="A573" s="2">
        <v>45705</v>
      </c>
      <c r="B573" s="3" t="s">
        <v>820</v>
      </c>
      <c r="C573" s="3" t="s">
        <v>33</v>
      </c>
      <c r="D573" s="3" t="s">
        <v>28</v>
      </c>
      <c r="E573" s="3" t="s">
        <v>20</v>
      </c>
      <c r="F573" s="3" t="s">
        <v>29</v>
      </c>
      <c r="G573" s="3" t="s">
        <v>17</v>
      </c>
      <c r="H573" s="3">
        <v>25850</v>
      </c>
      <c r="I573" s="3">
        <v>793</v>
      </c>
      <c r="J573" s="3">
        <v>9</v>
      </c>
      <c r="K573" s="12">
        <v>732.08</v>
      </c>
      <c r="L573" s="9">
        <v>676.09</v>
      </c>
      <c r="M573" s="16">
        <f t="shared" si="40"/>
        <v>3.067698259187621E-2</v>
      </c>
      <c r="N573" s="18">
        <f t="shared" si="41"/>
        <v>1.1349306431273645E-2</v>
      </c>
      <c r="O573" s="8">
        <f t="shared" si="42"/>
        <v>81.342222222222233</v>
      </c>
      <c r="P573" s="14">
        <f t="shared" si="43"/>
        <v>-55.990000000000009</v>
      </c>
      <c r="Q573" s="16">
        <f t="shared" si="44"/>
        <v>-7.648071249043821E-2</v>
      </c>
    </row>
    <row r="574" spans="1:17" x14ac:dyDescent="0.2">
      <c r="A574" s="2">
        <v>45705</v>
      </c>
      <c r="B574" s="3" t="s">
        <v>397</v>
      </c>
      <c r="C574" s="3" t="s">
        <v>13</v>
      </c>
      <c r="D574" s="3" t="s">
        <v>14</v>
      </c>
      <c r="E574" s="3" t="s">
        <v>31</v>
      </c>
      <c r="F574" s="3" t="s">
        <v>47</v>
      </c>
      <c r="G574" s="3" t="s">
        <v>17</v>
      </c>
      <c r="H574" s="3">
        <v>5164</v>
      </c>
      <c r="I574" s="3">
        <v>360</v>
      </c>
      <c r="J574" s="3">
        <v>22</v>
      </c>
      <c r="K574" s="12">
        <v>568.55999999999995</v>
      </c>
      <c r="L574" s="9">
        <v>2092.4899999999998</v>
      </c>
      <c r="M574" s="16">
        <f t="shared" si="40"/>
        <v>6.9713400464756006E-2</v>
      </c>
      <c r="N574" s="18">
        <f t="shared" si="41"/>
        <v>6.1111111111111109E-2</v>
      </c>
      <c r="O574" s="8">
        <f t="shared" si="42"/>
        <v>25.84363636363636</v>
      </c>
      <c r="P574" s="14">
        <f t="shared" si="43"/>
        <v>1523.9299999999998</v>
      </c>
      <c r="Q574" s="16">
        <f t="shared" si="44"/>
        <v>2.6803327705079498</v>
      </c>
    </row>
    <row r="575" spans="1:17" x14ac:dyDescent="0.2">
      <c r="A575" s="2">
        <v>45705</v>
      </c>
      <c r="B575" s="3" t="s">
        <v>163</v>
      </c>
      <c r="C575" s="3" t="s">
        <v>36</v>
      </c>
      <c r="D575" s="3" t="s">
        <v>37</v>
      </c>
      <c r="E575" s="3" t="s">
        <v>20</v>
      </c>
      <c r="F575" s="3" t="s">
        <v>47</v>
      </c>
      <c r="G575" s="3" t="s">
        <v>21</v>
      </c>
      <c r="H575" s="3">
        <v>3981</v>
      </c>
      <c r="I575" s="3">
        <v>168</v>
      </c>
      <c r="J575" s="3">
        <v>3</v>
      </c>
      <c r="K575" s="12">
        <v>1386.17</v>
      </c>
      <c r="L575" s="9">
        <v>447.07</v>
      </c>
      <c r="M575" s="16">
        <f t="shared" si="40"/>
        <v>4.220045214770158E-2</v>
      </c>
      <c r="N575" s="18">
        <f t="shared" si="41"/>
        <v>1.7857142857142856E-2</v>
      </c>
      <c r="O575" s="8">
        <f t="shared" si="42"/>
        <v>462.05666666666667</v>
      </c>
      <c r="P575" s="14">
        <f t="shared" si="43"/>
        <v>-939.10000000000014</v>
      </c>
      <c r="Q575" s="16">
        <f t="shared" si="44"/>
        <v>-0.6774782313857608</v>
      </c>
    </row>
    <row r="576" spans="1:17" x14ac:dyDescent="0.2">
      <c r="A576" s="2">
        <v>45705</v>
      </c>
      <c r="B576" s="3" t="s">
        <v>114</v>
      </c>
      <c r="C576" s="3" t="s">
        <v>54</v>
      </c>
      <c r="D576" s="3" t="s">
        <v>14</v>
      </c>
      <c r="E576" s="3" t="s">
        <v>31</v>
      </c>
      <c r="F576" s="3" t="s">
        <v>16</v>
      </c>
      <c r="G576" s="3" t="s">
        <v>17</v>
      </c>
      <c r="H576" s="3">
        <v>8606</v>
      </c>
      <c r="I576" s="3">
        <v>518</v>
      </c>
      <c r="J576" s="3">
        <v>35</v>
      </c>
      <c r="K576" s="12">
        <v>1074.8599999999999</v>
      </c>
      <c r="L576" s="9">
        <v>3352.21</v>
      </c>
      <c r="M576" s="16">
        <f t="shared" si="40"/>
        <v>6.0190564722286774E-2</v>
      </c>
      <c r="N576" s="18">
        <f t="shared" si="41"/>
        <v>6.7567567567567571E-2</v>
      </c>
      <c r="O576" s="8">
        <f t="shared" si="42"/>
        <v>30.71028571428571</v>
      </c>
      <c r="P576" s="14">
        <f t="shared" si="43"/>
        <v>2277.3500000000004</v>
      </c>
      <c r="Q576" s="16">
        <f t="shared" si="44"/>
        <v>2.1187410453454407</v>
      </c>
    </row>
    <row r="577" spans="1:17" x14ac:dyDescent="0.2">
      <c r="A577" s="2">
        <v>45706</v>
      </c>
      <c r="B577" s="3" t="s">
        <v>821</v>
      </c>
      <c r="C577" s="3" t="s">
        <v>71</v>
      </c>
      <c r="D577" s="3" t="s">
        <v>37</v>
      </c>
      <c r="E577" s="3" t="s">
        <v>31</v>
      </c>
      <c r="F577" s="3" t="s">
        <v>47</v>
      </c>
      <c r="G577" s="3" t="s">
        <v>21</v>
      </c>
      <c r="H577" s="3">
        <v>6751</v>
      </c>
      <c r="I577" s="3">
        <v>257</v>
      </c>
      <c r="J577" s="3">
        <v>8</v>
      </c>
      <c r="K577" s="12">
        <v>2039.82</v>
      </c>
      <c r="L577" s="9">
        <v>1386.47</v>
      </c>
      <c r="M577" s="16">
        <f t="shared" si="40"/>
        <v>3.8068434306028735E-2</v>
      </c>
      <c r="N577" s="18">
        <f t="shared" si="41"/>
        <v>3.1128404669260701E-2</v>
      </c>
      <c r="O577" s="8">
        <f t="shared" si="42"/>
        <v>254.97749999999999</v>
      </c>
      <c r="P577" s="14">
        <f t="shared" si="43"/>
        <v>-653.34999999999991</v>
      </c>
      <c r="Q577" s="16">
        <f t="shared" si="44"/>
        <v>-0.32029786941985072</v>
      </c>
    </row>
    <row r="578" spans="1:17" x14ac:dyDescent="0.2">
      <c r="A578" s="2">
        <v>45706</v>
      </c>
      <c r="B578" s="3" t="s">
        <v>473</v>
      </c>
      <c r="C578" s="3" t="s">
        <v>71</v>
      </c>
      <c r="D578" s="3" t="s">
        <v>37</v>
      </c>
      <c r="E578" s="3" t="s">
        <v>31</v>
      </c>
      <c r="F578" s="3" t="s">
        <v>16</v>
      </c>
      <c r="G578" s="3" t="s">
        <v>21</v>
      </c>
      <c r="H578" s="3">
        <v>3581</v>
      </c>
      <c r="I578" s="3">
        <v>91</v>
      </c>
      <c r="J578" s="3">
        <v>3</v>
      </c>
      <c r="K578" s="12">
        <v>627.84</v>
      </c>
      <c r="L578" s="9">
        <v>633.74</v>
      </c>
      <c r="M578" s="16">
        <f t="shared" si="40"/>
        <v>2.541189611840268E-2</v>
      </c>
      <c r="N578" s="18">
        <f t="shared" si="41"/>
        <v>3.2967032967032968E-2</v>
      </c>
      <c r="O578" s="8">
        <f t="shared" si="42"/>
        <v>209.28</v>
      </c>
      <c r="P578" s="14">
        <f t="shared" si="43"/>
        <v>5.8999999999999773</v>
      </c>
      <c r="Q578" s="16">
        <f t="shared" si="44"/>
        <v>9.3972986748215737E-3</v>
      </c>
    </row>
    <row r="579" spans="1:17" x14ac:dyDescent="0.2">
      <c r="A579" s="2">
        <v>45706</v>
      </c>
      <c r="B579" s="3" t="s">
        <v>822</v>
      </c>
      <c r="C579" s="3" t="s">
        <v>74</v>
      </c>
      <c r="D579" s="3" t="s">
        <v>28</v>
      </c>
      <c r="E579" s="3" t="s">
        <v>15</v>
      </c>
      <c r="F579" s="3" t="s">
        <v>16</v>
      </c>
      <c r="G579" s="3" t="s">
        <v>21</v>
      </c>
      <c r="H579" s="3">
        <v>16840</v>
      </c>
      <c r="I579" s="3">
        <v>396</v>
      </c>
      <c r="J579" s="3">
        <v>4</v>
      </c>
      <c r="K579" s="12">
        <v>538.20000000000005</v>
      </c>
      <c r="L579" s="9">
        <v>24.13</v>
      </c>
      <c r="M579" s="16">
        <f t="shared" ref="M579:M642" si="45">IFERROR(I579/H579,0)</f>
        <v>2.3515439429928741E-2</v>
      </c>
      <c r="N579" s="18">
        <f t="shared" ref="N579:N642" si="46">IFERROR(J579/I579,0)</f>
        <v>1.0101010101010102E-2</v>
      </c>
      <c r="O579" s="8">
        <f t="shared" ref="O579:O642" si="47">IFERROR(K579/J579,0)</f>
        <v>134.55000000000001</v>
      </c>
      <c r="P579" s="14">
        <f t="shared" ref="P579:P642" si="48">L579-K579</f>
        <v>-514.07000000000005</v>
      </c>
      <c r="Q579" s="16">
        <f t="shared" ref="Q579:Q642" si="49">IFERROR((L579-K579)/K579,0)</f>
        <v>-0.9551653660349313</v>
      </c>
    </row>
    <row r="580" spans="1:17" x14ac:dyDescent="0.2">
      <c r="A580" s="2">
        <v>45706</v>
      </c>
      <c r="B580" s="3" t="s">
        <v>823</v>
      </c>
      <c r="C580" s="3" t="s">
        <v>58</v>
      </c>
      <c r="D580" s="3" t="s">
        <v>37</v>
      </c>
      <c r="E580" s="3" t="s">
        <v>31</v>
      </c>
      <c r="F580" s="3" t="s">
        <v>16</v>
      </c>
      <c r="G580" s="3" t="s">
        <v>17</v>
      </c>
      <c r="H580" s="3">
        <v>3015</v>
      </c>
      <c r="I580" s="3">
        <v>117</v>
      </c>
      <c r="J580" s="3">
        <v>2</v>
      </c>
      <c r="K580" s="12">
        <v>455.23</v>
      </c>
      <c r="L580" s="9">
        <v>254.66</v>
      </c>
      <c r="M580" s="16">
        <f t="shared" si="45"/>
        <v>3.880597014925373E-2</v>
      </c>
      <c r="N580" s="18">
        <f t="shared" si="46"/>
        <v>1.7094017094017096E-2</v>
      </c>
      <c r="O580" s="8">
        <f t="shared" si="47"/>
        <v>227.61500000000001</v>
      </c>
      <c r="P580" s="14">
        <f t="shared" si="48"/>
        <v>-200.57000000000002</v>
      </c>
      <c r="Q580" s="16">
        <f t="shared" si="49"/>
        <v>-0.44059047075104896</v>
      </c>
    </row>
    <row r="581" spans="1:17" x14ac:dyDescent="0.2">
      <c r="A581" s="2">
        <v>45706</v>
      </c>
      <c r="B581" s="3" t="s">
        <v>441</v>
      </c>
      <c r="C581" s="3" t="s">
        <v>156</v>
      </c>
      <c r="D581" s="3" t="s">
        <v>46</v>
      </c>
      <c r="E581" s="3" t="s">
        <v>31</v>
      </c>
      <c r="F581" s="3" t="s">
        <v>50</v>
      </c>
      <c r="G581" s="3" t="s">
        <v>21</v>
      </c>
      <c r="H581" s="3">
        <v>17097</v>
      </c>
      <c r="I581" s="3">
        <v>667</v>
      </c>
      <c r="J581" s="3">
        <v>30</v>
      </c>
      <c r="K581" s="12">
        <v>1000.03</v>
      </c>
      <c r="L581" s="9">
        <v>2522.44</v>
      </c>
      <c r="M581" s="16">
        <f t="shared" si="45"/>
        <v>3.9012692285196236E-2</v>
      </c>
      <c r="N581" s="18">
        <f t="shared" si="46"/>
        <v>4.4977511244377814E-2</v>
      </c>
      <c r="O581" s="8">
        <f t="shared" si="47"/>
        <v>33.334333333333333</v>
      </c>
      <c r="P581" s="14">
        <f t="shared" si="48"/>
        <v>1522.41</v>
      </c>
      <c r="Q581" s="16">
        <f t="shared" si="49"/>
        <v>1.5223643290701281</v>
      </c>
    </row>
    <row r="582" spans="1:17" x14ac:dyDescent="0.2">
      <c r="A582" s="2">
        <v>45706</v>
      </c>
      <c r="B582" s="3" t="s">
        <v>432</v>
      </c>
      <c r="C582" s="3" t="s">
        <v>39</v>
      </c>
      <c r="D582" s="3" t="s">
        <v>28</v>
      </c>
      <c r="E582" s="3" t="s">
        <v>20</v>
      </c>
      <c r="F582" s="3" t="s">
        <v>16</v>
      </c>
      <c r="G582" s="3" t="s">
        <v>17</v>
      </c>
      <c r="H582" s="3">
        <v>35897</v>
      </c>
      <c r="I582" s="3">
        <v>337</v>
      </c>
      <c r="J582" s="3">
        <v>7</v>
      </c>
      <c r="K582" s="12">
        <v>373.84</v>
      </c>
      <c r="L582" s="9">
        <v>455.49</v>
      </c>
      <c r="M582" s="16">
        <f t="shared" si="45"/>
        <v>9.3879711396495525E-3</v>
      </c>
      <c r="N582" s="18">
        <f t="shared" si="46"/>
        <v>2.0771513353115726E-2</v>
      </c>
      <c r="O582" s="8">
        <f t="shared" si="47"/>
        <v>53.405714285714282</v>
      </c>
      <c r="P582" s="14">
        <f t="shared" si="48"/>
        <v>81.650000000000034</v>
      </c>
      <c r="Q582" s="16">
        <f t="shared" si="49"/>
        <v>0.21840894500321004</v>
      </c>
    </row>
    <row r="583" spans="1:17" x14ac:dyDescent="0.2">
      <c r="A583" s="2">
        <v>45706</v>
      </c>
      <c r="B583" s="3" t="s">
        <v>287</v>
      </c>
      <c r="C583" s="3" t="s">
        <v>71</v>
      </c>
      <c r="D583" s="3" t="s">
        <v>37</v>
      </c>
      <c r="E583" s="3" t="s">
        <v>31</v>
      </c>
      <c r="F583" s="3" t="s">
        <v>16</v>
      </c>
      <c r="G583" s="3" t="s">
        <v>17</v>
      </c>
      <c r="H583" s="3">
        <v>3288</v>
      </c>
      <c r="I583" s="3">
        <v>181</v>
      </c>
      <c r="J583" s="3">
        <v>3</v>
      </c>
      <c r="K583" s="12">
        <v>1185.1400000000001</v>
      </c>
      <c r="L583" s="9">
        <v>392.4</v>
      </c>
      <c r="M583" s="16">
        <f t="shared" si="45"/>
        <v>5.504866180048662E-2</v>
      </c>
      <c r="N583" s="18">
        <f t="shared" si="46"/>
        <v>1.6574585635359115E-2</v>
      </c>
      <c r="O583" s="8">
        <f t="shared" si="47"/>
        <v>395.04666666666668</v>
      </c>
      <c r="P583" s="14">
        <f t="shared" si="48"/>
        <v>-792.74000000000012</v>
      </c>
      <c r="Q583" s="16">
        <f t="shared" si="49"/>
        <v>-0.66889987680780338</v>
      </c>
    </row>
    <row r="584" spans="1:17" x14ac:dyDescent="0.2">
      <c r="A584" s="2">
        <v>45706</v>
      </c>
      <c r="B584" s="3" t="s">
        <v>314</v>
      </c>
      <c r="C584" s="3" t="s">
        <v>41</v>
      </c>
      <c r="D584" s="3" t="s">
        <v>24</v>
      </c>
      <c r="E584" s="3" t="s">
        <v>20</v>
      </c>
      <c r="F584" s="3" t="s">
        <v>50</v>
      </c>
      <c r="G584" s="3" t="s">
        <v>21</v>
      </c>
      <c r="H584" s="3">
        <v>3576</v>
      </c>
      <c r="I584" s="3">
        <v>419</v>
      </c>
      <c r="J584" s="3">
        <v>72</v>
      </c>
      <c r="K584" s="12">
        <v>102.52</v>
      </c>
      <c r="L584" s="9">
        <v>8561.82</v>
      </c>
      <c r="M584" s="16">
        <f t="shared" si="45"/>
        <v>0.11717002237136466</v>
      </c>
      <c r="N584" s="18">
        <f t="shared" si="46"/>
        <v>0.17183770883054891</v>
      </c>
      <c r="O584" s="8">
        <f t="shared" si="47"/>
        <v>1.4238888888888888</v>
      </c>
      <c r="P584" s="14">
        <f t="shared" si="48"/>
        <v>8459.2999999999993</v>
      </c>
      <c r="Q584" s="16">
        <f t="shared" si="49"/>
        <v>82.51365587202497</v>
      </c>
    </row>
    <row r="585" spans="1:17" x14ac:dyDescent="0.2">
      <c r="A585" s="2">
        <v>45706</v>
      </c>
      <c r="B585" s="3" t="s">
        <v>824</v>
      </c>
      <c r="C585" s="3" t="s">
        <v>13</v>
      </c>
      <c r="D585" s="3" t="s">
        <v>14</v>
      </c>
      <c r="E585" s="3" t="s">
        <v>31</v>
      </c>
      <c r="F585" s="3" t="s">
        <v>50</v>
      </c>
      <c r="G585" s="3" t="s">
        <v>17</v>
      </c>
      <c r="H585" s="3">
        <v>7227</v>
      </c>
      <c r="I585" s="3">
        <v>370</v>
      </c>
      <c r="J585" s="3">
        <v>25</v>
      </c>
      <c r="K585" s="12">
        <v>868.03</v>
      </c>
      <c r="L585" s="9">
        <v>2285.4299999999998</v>
      </c>
      <c r="M585" s="16">
        <f t="shared" si="45"/>
        <v>5.1196900511969005E-2</v>
      </c>
      <c r="N585" s="18">
        <f t="shared" si="46"/>
        <v>6.7567567567567571E-2</v>
      </c>
      <c r="O585" s="8">
        <f t="shared" si="47"/>
        <v>34.721199999999996</v>
      </c>
      <c r="P585" s="14">
        <f t="shared" si="48"/>
        <v>1417.3999999999999</v>
      </c>
      <c r="Q585" s="16">
        <f t="shared" si="49"/>
        <v>1.6328928723661624</v>
      </c>
    </row>
    <row r="586" spans="1:17" x14ac:dyDescent="0.2">
      <c r="A586" s="2">
        <v>45706</v>
      </c>
      <c r="B586" s="3" t="s">
        <v>825</v>
      </c>
      <c r="C586" s="3" t="s">
        <v>120</v>
      </c>
      <c r="D586" s="3" t="s">
        <v>14</v>
      </c>
      <c r="E586" s="3" t="s">
        <v>20</v>
      </c>
      <c r="F586" s="3" t="s">
        <v>34</v>
      </c>
      <c r="G586" s="3" t="s">
        <v>17</v>
      </c>
      <c r="H586" s="3">
        <v>5273</v>
      </c>
      <c r="I586" s="3">
        <v>194</v>
      </c>
      <c r="J586" s="3">
        <v>6</v>
      </c>
      <c r="K586" s="12">
        <v>452.11</v>
      </c>
      <c r="L586" s="9">
        <v>584.47</v>
      </c>
      <c r="M586" s="16">
        <f t="shared" si="45"/>
        <v>3.6791200455148873E-2</v>
      </c>
      <c r="N586" s="18">
        <f t="shared" si="46"/>
        <v>3.0927835051546393E-2</v>
      </c>
      <c r="O586" s="8">
        <f t="shared" si="47"/>
        <v>75.351666666666674</v>
      </c>
      <c r="P586" s="14">
        <f t="shared" si="48"/>
        <v>132.36000000000001</v>
      </c>
      <c r="Q586" s="16">
        <f t="shared" si="49"/>
        <v>0.29276061135564357</v>
      </c>
    </row>
    <row r="587" spans="1:17" x14ac:dyDescent="0.2">
      <c r="A587" s="2">
        <v>45706</v>
      </c>
      <c r="B587" s="3" t="s">
        <v>108</v>
      </c>
      <c r="C587" s="3" t="s">
        <v>45</v>
      </c>
      <c r="D587" s="3" t="s">
        <v>46</v>
      </c>
      <c r="E587" s="3" t="s">
        <v>20</v>
      </c>
      <c r="F587" s="3" t="s">
        <v>29</v>
      </c>
      <c r="G587" s="3" t="s">
        <v>21</v>
      </c>
      <c r="H587" s="3">
        <v>11616</v>
      </c>
      <c r="I587" s="3">
        <v>385</v>
      </c>
      <c r="J587" s="3">
        <v>13</v>
      </c>
      <c r="K587" s="12">
        <v>433.31</v>
      </c>
      <c r="L587" s="9">
        <v>1029.45</v>
      </c>
      <c r="M587" s="16">
        <f t="shared" si="45"/>
        <v>3.3143939393939392E-2</v>
      </c>
      <c r="N587" s="18">
        <f t="shared" si="46"/>
        <v>3.3766233766233764E-2</v>
      </c>
      <c r="O587" s="8">
        <f t="shared" si="47"/>
        <v>33.331538461538464</v>
      </c>
      <c r="P587" s="14">
        <f t="shared" si="48"/>
        <v>596.1400000000001</v>
      </c>
      <c r="Q587" s="16">
        <f t="shared" si="49"/>
        <v>1.3757817728646928</v>
      </c>
    </row>
    <row r="588" spans="1:17" x14ac:dyDescent="0.2">
      <c r="A588" s="2">
        <v>45707</v>
      </c>
      <c r="B588" s="3" t="s">
        <v>89</v>
      </c>
      <c r="C588" s="3" t="s">
        <v>97</v>
      </c>
      <c r="D588" s="3" t="s">
        <v>46</v>
      </c>
      <c r="E588" s="3" t="s">
        <v>31</v>
      </c>
      <c r="F588" s="3" t="s">
        <v>47</v>
      </c>
      <c r="G588" s="3" t="s">
        <v>25</v>
      </c>
      <c r="H588" s="3">
        <v>14393</v>
      </c>
      <c r="I588" s="3">
        <v>487</v>
      </c>
      <c r="J588" s="3">
        <v>21</v>
      </c>
      <c r="K588" s="12">
        <v>858.38</v>
      </c>
      <c r="L588" s="9">
        <v>2051.44</v>
      </c>
      <c r="M588" s="16">
        <f t="shared" si="45"/>
        <v>3.383589244771764E-2</v>
      </c>
      <c r="N588" s="18">
        <f t="shared" si="46"/>
        <v>4.3121149897330596E-2</v>
      </c>
      <c r="O588" s="8">
        <f t="shared" si="47"/>
        <v>40.875238095238096</v>
      </c>
      <c r="P588" s="14">
        <f t="shared" si="48"/>
        <v>1193.06</v>
      </c>
      <c r="Q588" s="16">
        <f t="shared" si="49"/>
        <v>1.3898972483049465</v>
      </c>
    </row>
    <row r="589" spans="1:17" x14ac:dyDescent="0.2">
      <c r="A589" s="2">
        <v>45707</v>
      </c>
      <c r="B589" s="3" t="s">
        <v>826</v>
      </c>
      <c r="C589" s="3" t="s">
        <v>43</v>
      </c>
      <c r="D589" s="3" t="s">
        <v>37</v>
      </c>
      <c r="E589" s="3" t="s">
        <v>20</v>
      </c>
      <c r="F589" s="3" t="s">
        <v>47</v>
      </c>
      <c r="G589" s="3" t="s">
        <v>21</v>
      </c>
      <c r="H589" s="3">
        <v>3620</v>
      </c>
      <c r="I589" s="3">
        <v>126</v>
      </c>
      <c r="J589" s="3">
        <v>3</v>
      </c>
      <c r="K589" s="12">
        <v>718.43</v>
      </c>
      <c r="L589" s="9">
        <v>32.590000000000003</v>
      </c>
      <c r="M589" s="16">
        <f t="shared" si="45"/>
        <v>3.4806629834254144E-2</v>
      </c>
      <c r="N589" s="18">
        <f t="shared" si="46"/>
        <v>2.3809523809523808E-2</v>
      </c>
      <c r="O589" s="8">
        <f t="shared" si="47"/>
        <v>239.47666666666666</v>
      </c>
      <c r="P589" s="14">
        <f t="shared" si="48"/>
        <v>-685.83999999999992</v>
      </c>
      <c r="Q589" s="16">
        <f t="shared" si="49"/>
        <v>-0.95463719499464106</v>
      </c>
    </row>
    <row r="590" spans="1:17" x14ac:dyDescent="0.2">
      <c r="A590" s="2">
        <v>45707</v>
      </c>
      <c r="B590" s="3" t="s">
        <v>827</v>
      </c>
      <c r="C590" s="3" t="s">
        <v>54</v>
      </c>
      <c r="D590" s="3" t="s">
        <v>14</v>
      </c>
      <c r="E590" s="3" t="s">
        <v>31</v>
      </c>
      <c r="F590" s="3" t="s">
        <v>47</v>
      </c>
      <c r="G590" s="3" t="s">
        <v>17</v>
      </c>
      <c r="H590" s="3">
        <v>13448</v>
      </c>
      <c r="I590" s="3">
        <v>896</v>
      </c>
      <c r="J590" s="3">
        <v>65</v>
      </c>
      <c r="K590" s="12">
        <v>1578.42</v>
      </c>
      <c r="L590" s="9">
        <v>5600.79</v>
      </c>
      <c r="M590" s="16">
        <f t="shared" si="45"/>
        <v>6.6627007733491964E-2</v>
      </c>
      <c r="N590" s="18">
        <f t="shared" si="46"/>
        <v>7.2544642857142863E-2</v>
      </c>
      <c r="O590" s="8">
        <f t="shared" si="47"/>
        <v>24.283384615384616</v>
      </c>
      <c r="P590" s="14">
        <f t="shared" si="48"/>
        <v>4022.37</v>
      </c>
      <c r="Q590" s="16">
        <f t="shared" si="49"/>
        <v>2.5483521496179722</v>
      </c>
    </row>
    <row r="591" spans="1:17" x14ac:dyDescent="0.2">
      <c r="A591" s="2">
        <v>45707</v>
      </c>
      <c r="B591" s="3" t="s">
        <v>828</v>
      </c>
      <c r="C591" s="3" t="s">
        <v>156</v>
      </c>
      <c r="D591" s="3" t="s">
        <v>46</v>
      </c>
      <c r="E591" s="3" t="s">
        <v>15</v>
      </c>
      <c r="F591" s="3" t="s">
        <v>29</v>
      </c>
      <c r="G591" s="3" t="s">
        <v>17</v>
      </c>
      <c r="H591" s="3">
        <v>11296</v>
      </c>
      <c r="I591" s="3">
        <v>342</v>
      </c>
      <c r="J591" s="3">
        <v>6</v>
      </c>
      <c r="K591" s="12">
        <v>391.67</v>
      </c>
      <c r="L591" s="9">
        <v>330.94</v>
      </c>
      <c r="M591" s="16">
        <f t="shared" si="45"/>
        <v>3.0276203966005666E-2</v>
      </c>
      <c r="N591" s="18">
        <f t="shared" si="46"/>
        <v>1.7543859649122806E-2</v>
      </c>
      <c r="O591" s="8">
        <f t="shared" si="47"/>
        <v>65.278333333333336</v>
      </c>
      <c r="P591" s="14">
        <f t="shared" si="48"/>
        <v>-60.730000000000018</v>
      </c>
      <c r="Q591" s="16">
        <f t="shared" si="49"/>
        <v>-0.15505399954042948</v>
      </c>
    </row>
    <row r="592" spans="1:17" x14ac:dyDescent="0.2">
      <c r="A592" s="2">
        <v>45707</v>
      </c>
      <c r="B592" s="3" t="s">
        <v>113</v>
      </c>
      <c r="C592" s="3" t="s">
        <v>41</v>
      </c>
      <c r="D592" s="3" t="s">
        <v>24</v>
      </c>
      <c r="E592" s="3" t="s">
        <v>20</v>
      </c>
      <c r="F592" s="3" t="s">
        <v>50</v>
      </c>
      <c r="G592" s="3" t="s">
        <v>17</v>
      </c>
      <c r="H592" s="3">
        <v>3592</v>
      </c>
      <c r="I592" s="3">
        <v>512</v>
      </c>
      <c r="J592" s="3">
        <v>68</v>
      </c>
      <c r="K592" s="12">
        <v>178.79</v>
      </c>
      <c r="L592" s="9">
        <v>8419.82</v>
      </c>
      <c r="M592" s="16">
        <f t="shared" si="45"/>
        <v>0.14253897550111358</v>
      </c>
      <c r="N592" s="18">
        <f t="shared" si="46"/>
        <v>0.1328125</v>
      </c>
      <c r="O592" s="8">
        <f t="shared" si="47"/>
        <v>2.6292647058823526</v>
      </c>
      <c r="P592" s="14">
        <f t="shared" si="48"/>
        <v>8241.0299999999988</v>
      </c>
      <c r="Q592" s="16">
        <f t="shared" si="49"/>
        <v>46.093349739918338</v>
      </c>
    </row>
    <row r="593" spans="1:17" x14ac:dyDescent="0.2">
      <c r="A593" s="2">
        <v>45707</v>
      </c>
      <c r="B593" s="3" t="s">
        <v>829</v>
      </c>
      <c r="C593" s="3" t="s">
        <v>41</v>
      </c>
      <c r="D593" s="3" t="s">
        <v>24</v>
      </c>
      <c r="E593" s="3" t="s">
        <v>15</v>
      </c>
      <c r="F593" s="3" t="s">
        <v>34</v>
      </c>
      <c r="G593" s="3" t="s">
        <v>25</v>
      </c>
      <c r="H593" s="3">
        <v>3504</v>
      </c>
      <c r="I593" s="3">
        <v>304</v>
      </c>
      <c r="J593" s="3">
        <v>29</v>
      </c>
      <c r="K593" s="12">
        <v>126.48</v>
      </c>
      <c r="L593" s="9">
        <v>2503.91</v>
      </c>
      <c r="M593" s="16">
        <f t="shared" si="45"/>
        <v>8.6757990867579904E-2</v>
      </c>
      <c r="N593" s="18">
        <f t="shared" si="46"/>
        <v>9.5394736842105268E-2</v>
      </c>
      <c r="O593" s="8">
        <f t="shared" si="47"/>
        <v>4.3613793103448275</v>
      </c>
      <c r="P593" s="14">
        <f t="shared" si="48"/>
        <v>2377.4299999999998</v>
      </c>
      <c r="Q593" s="16">
        <f t="shared" si="49"/>
        <v>18.796884882985449</v>
      </c>
    </row>
    <row r="594" spans="1:17" x14ac:dyDescent="0.2">
      <c r="A594" s="2">
        <v>45708</v>
      </c>
      <c r="B594" s="3" t="s">
        <v>489</v>
      </c>
      <c r="C594" s="3" t="s">
        <v>19</v>
      </c>
      <c r="D594" s="3" t="s">
        <v>14</v>
      </c>
      <c r="E594" s="3" t="s">
        <v>31</v>
      </c>
      <c r="F594" s="3" t="s">
        <v>29</v>
      </c>
      <c r="G594" s="3" t="s">
        <v>17</v>
      </c>
      <c r="H594" s="3">
        <v>6543</v>
      </c>
      <c r="I594" s="3">
        <v>466</v>
      </c>
      <c r="J594" s="3">
        <v>30</v>
      </c>
      <c r="K594" s="12">
        <v>1129.8699999999999</v>
      </c>
      <c r="L594" s="9">
        <v>3644.37</v>
      </c>
      <c r="M594" s="16">
        <f t="shared" si="45"/>
        <v>7.1221152376585661E-2</v>
      </c>
      <c r="N594" s="18">
        <f t="shared" si="46"/>
        <v>6.4377682403433473E-2</v>
      </c>
      <c r="O594" s="8">
        <f t="shared" si="47"/>
        <v>37.662333333333329</v>
      </c>
      <c r="P594" s="14">
        <f t="shared" si="48"/>
        <v>2514.5</v>
      </c>
      <c r="Q594" s="16">
        <f t="shared" si="49"/>
        <v>2.2254772672962377</v>
      </c>
    </row>
    <row r="595" spans="1:17" x14ac:dyDescent="0.2">
      <c r="A595" s="2">
        <v>45708</v>
      </c>
      <c r="B595" s="3" t="s">
        <v>830</v>
      </c>
      <c r="C595" s="3" t="s">
        <v>120</v>
      </c>
      <c r="D595" s="3" t="s">
        <v>14</v>
      </c>
      <c r="E595" s="3" t="s">
        <v>15</v>
      </c>
      <c r="F595" s="3" t="s">
        <v>50</v>
      </c>
      <c r="G595" s="3" t="s">
        <v>17</v>
      </c>
      <c r="H595" s="3">
        <v>10946</v>
      </c>
      <c r="I595" s="3">
        <v>553</v>
      </c>
      <c r="J595" s="3">
        <v>14</v>
      </c>
      <c r="K595" s="12">
        <v>1288.79</v>
      </c>
      <c r="L595" s="9">
        <v>805.45</v>
      </c>
      <c r="M595" s="16">
        <f t="shared" si="45"/>
        <v>5.0520738169194224E-2</v>
      </c>
      <c r="N595" s="18">
        <f t="shared" si="46"/>
        <v>2.5316455696202531E-2</v>
      </c>
      <c r="O595" s="8">
        <f t="shared" si="47"/>
        <v>92.056428571428569</v>
      </c>
      <c r="P595" s="14">
        <f t="shared" si="48"/>
        <v>-483.33999999999992</v>
      </c>
      <c r="Q595" s="16">
        <f t="shared" si="49"/>
        <v>-0.37503394657003852</v>
      </c>
    </row>
    <row r="596" spans="1:17" x14ac:dyDescent="0.2">
      <c r="A596" s="2">
        <v>45708</v>
      </c>
      <c r="B596" s="3" t="s">
        <v>350</v>
      </c>
      <c r="C596" s="3" t="s">
        <v>36</v>
      </c>
      <c r="D596" s="3" t="s">
        <v>37</v>
      </c>
      <c r="E596" s="3" t="s">
        <v>20</v>
      </c>
      <c r="F596" s="3" t="s">
        <v>34</v>
      </c>
      <c r="G596" s="3" t="s">
        <v>17</v>
      </c>
      <c r="H596" s="3">
        <v>2850</v>
      </c>
      <c r="I596" s="3">
        <v>153</v>
      </c>
      <c r="J596" s="3">
        <v>2</v>
      </c>
      <c r="K596" s="12">
        <v>648.37</v>
      </c>
      <c r="L596" s="9">
        <v>312.77</v>
      </c>
      <c r="M596" s="16">
        <f t="shared" si="45"/>
        <v>5.3684210526315793E-2</v>
      </c>
      <c r="N596" s="18">
        <f t="shared" si="46"/>
        <v>1.3071895424836602E-2</v>
      </c>
      <c r="O596" s="8">
        <f t="shared" si="47"/>
        <v>324.185</v>
      </c>
      <c r="P596" s="14">
        <f t="shared" si="48"/>
        <v>-335.6</v>
      </c>
      <c r="Q596" s="16">
        <f t="shared" si="49"/>
        <v>-0.51760568811018404</v>
      </c>
    </row>
    <row r="597" spans="1:17" x14ac:dyDescent="0.2">
      <c r="A597" s="2">
        <v>45708</v>
      </c>
      <c r="B597" s="3" t="s">
        <v>116</v>
      </c>
      <c r="C597" s="3" t="s">
        <v>120</v>
      </c>
      <c r="D597" s="3" t="s">
        <v>14</v>
      </c>
      <c r="E597" s="3" t="s">
        <v>20</v>
      </c>
      <c r="F597" s="3" t="s">
        <v>50</v>
      </c>
      <c r="G597" s="3" t="s">
        <v>17</v>
      </c>
      <c r="H597" s="3">
        <v>8341</v>
      </c>
      <c r="I597" s="3">
        <v>352</v>
      </c>
      <c r="J597" s="3">
        <v>13</v>
      </c>
      <c r="K597" s="12">
        <v>1022.63</v>
      </c>
      <c r="L597" s="9">
        <v>1448.11</v>
      </c>
      <c r="M597" s="16">
        <f t="shared" si="45"/>
        <v>4.220117491907445E-2</v>
      </c>
      <c r="N597" s="18">
        <f t="shared" si="46"/>
        <v>3.6931818181818184E-2</v>
      </c>
      <c r="O597" s="8">
        <f t="shared" si="47"/>
        <v>78.663846153846151</v>
      </c>
      <c r="P597" s="14">
        <f t="shared" si="48"/>
        <v>425.4799999999999</v>
      </c>
      <c r="Q597" s="16">
        <f t="shared" si="49"/>
        <v>0.4160644612420914</v>
      </c>
    </row>
    <row r="598" spans="1:17" x14ac:dyDescent="0.2">
      <c r="A598" s="2">
        <v>45708</v>
      </c>
      <c r="B598" s="3" t="s">
        <v>831</v>
      </c>
      <c r="C598" s="3" t="s">
        <v>49</v>
      </c>
      <c r="D598" s="3" t="s">
        <v>46</v>
      </c>
      <c r="E598" s="3" t="s">
        <v>31</v>
      </c>
      <c r="F598" s="3" t="s">
        <v>50</v>
      </c>
      <c r="G598" s="3" t="s">
        <v>17</v>
      </c>
      <c r="H598" s="3">
        <v>8373</v>
      </c>
      <c r="I598" s="3">
        <v>339</v>
      </c>
      <c r="J598" s="3">
        <v>8</v>
      </c>
      <c r="K598" s="12">
        <v>695.54</v>
      </c>
      <c r="L598" s="9">
        <v>682.23</v>
      </c>
      <c r="M598" s="16">
        <f t="shared" si="45"/>
        <v>4.0487280544607665E-2</v>
      </c>
      <c r="N598" s="18">
        <f t="shared" si="46"/>
        <v>2.359882005899705E-2</v>
      </c>
      <c r="O598" s="8">
        <f t="shared" si="47"/>
        <v>86.942499999999995</v>
      </c>
      <c r="P598" s="14">
        <f t="shared" si="48"/>
        <v>-13.309999999999945</v>
      </c>
      <c r="Q598" s="16">
        <f t="shared" si="49"/>
        <v>-1.9136210713977551E-2</v>
      </c>
    </row>
    <row r="599" spans="1:17" x14ac:dyDescent="0.2">
      <c r="A599" s="2">
        <v>45708</v>
      </c>
      <c r="B599" s="3" t="s">
        <v>515</v>
      </c>
      <c r="C599" s="3" t="s">
        <v>36</v>
      </c>
      <c r="D599" s="3" t="s">
        <v>37</v>
      </c>
      <c r="E599" s="3" t="s">
        <v>20</v>
      </c>
      <c r="F599" s="3" t="s">
        <v>16</v>
      </c>
      <c r="G599" s="3" t="s">
        <v>21</v>
      </c>
      <c r="H599" s="3">
        <v>5426</v>
      </c>
      <c r="I599" s="3">
        <v>180</v>
      </c>
      <c r="J599" s="3">
        <v>3</v>
      </c>
      <c r="K599" s="12">
        <v>754</v>
      </c>
      <c r="L599" s="9">
        <v>535.07000000000005</v>
      </c>
      <c r="M599" s="16">
        <f t="shared" si="45"/>
        <v>3.3173608551419091E-2</v>
      </c>
      <c r="N599" s="18">
        <f t="shared" si="46"/>
        <v>1.6666666666666666E-2</v>
      </c>
      <c r="O599" s="8">
        <f t="shared" si="47"/>
        <v>251.33333333333334</v>
      </c>
      <c r="P599" s="14">
        <f t="shared" si="48"/>
        <v>-218.92999999999995</v>
      </c>
      <c r="Q599" s="16">
        <f t="shared" si="49"/>
        <v>-0.29035809018567632</v>
      </c>
    </row>
    <row r="600" spans="1:17" x14ac:dyDescent="0.2">
      <c r="A600" s="2">
        <v>45708</v>
      </c>
      <c r="B600" s="3" t="s">
        <v>832</v>
      </c>
      <c r="C600" s="3" t="s">
        <v>54</v>
      </c>
      <c r="D600" s="3" t="s">
        <v>14</v>
      </c>
      <c r="E600" s="3" t="s">
        <v>15</v>
      </c>
      <c r="F600" s="3" t="s">
        <v>16</v>
      </c>
      <c r="G600" s="3" t="s">
        <v>17</v>
      </c>
      <c r="H600" s="3">
        <v>12240</v>
      </c>
      <c r="I600" s="3">
        <v>476</v>
      </c>
      <c r="J600" s="3">
        <v>11</v>
      </c>
      <c r="K600" s="12">
        <v>1023.74</v>
      </c>
      <c r="L600" s="9">
        <v>1087.6600000000001</v>
      </c>
      <c r="M600" s="16">
        <f t="shared" si="45"/>
        <v>3.888888888888889E-2</v>
      </c>
      <c r="N600" s="18">
        <f t="shared" si="46"/>
        <v>2.3109243697478993E-2</v>
      </c>
      <c r="O600" s="8">
        <f t="shared" si="47"/>
        <v>93.067272727272723</v>
      </c>
      <c r="P600" s="14">
        <f t="shared" si="48"/>
        <v>63.920000000000073</v>
      </c>
      <c r="Q600" s="16">
        <f t="shared" si="49"/>
        <v>6.2437728329458722E-2</v>
      </c>
    </row>
    <row r="601" spans="1:17" x14ac:dyDescent="0.2">
      <c r="A601" s="2">
        <v>45708</v>
      </c>
      <c r="B601" s="3" t="s">
        <v>155</v>
      </c>
      <c r="C601" s="3" t="s">
        <v>19</v>
      </c>
      <c r="D601" s="3" t="s">
        <v>14</v>
      </c>
      <c r="E601" s="3" t="s">
        <v>20</v>
      </c>
      <c r="F601" s="3" t="s">
        <v>29</v>
      </c>
      <c r="G601" s="3" t="s">
        <v>17</v>
      </c>
      <c r="H601" s="3">
        <v>9545</v>
      </c>
      <c r="I601" s="3">
        <v>565</v>
      </c>
      <c r="J601" s="3">
        <v>15</v>
      </c>
      <c r="K601" s="12">
        <v>1095</v>
      </c>
      <c r="L601" s="9">
        <v>1619.29</v>
      </c>
      <c r="M601" s="16">
        <f t="shared" si="45"/>
        <v>5.9193294918805657E-2</v>
      </c>
      <c r="N601" s="18">
        <f t="shared" si="46"/>
        <v>2.6548672566371681E-2</v>
      </c>
      <c r="O601" s="8">
        <f t="shared" si="47"/>
        <v>73</v>
      </c>
      <c r="P601" s="14">
        <f t="shared" si="48"/>
        <v>524.29</v>
      </c>
      <c r="Q601" s="16">
        <f t="shared" si="49"/>
        <v>0.47880365296803651</v>
      </c>
    </row>
    <row r="602" spans="1:17" x14ac:dyDescent="0.2">
      <c r="A602" s="2">
        <v>45708</v>
      </c>
      <c r="B602" s="3" t="s">
        <v>833</v>
      </c>
      <c r="C602" s="3" t="s">
        <v>45</v>
      </c>
      <c r="D602" s="3" t="s">
        <v>46</v>
      </c>
      <c r="E602" s="3" t="s">
        <v>31</v>
      </c>
      <c r="F602" s="3" t="s">
        <v>16</v>
      </c>
      <c r="G602" s="3" t="s">
        <v>21</v>
      </c>
      <c r="H602" s="3">
        <v>9315</v>
      </c>
      <c r="I602" s="3">
        <v>282</v>
      </c>
      <c r="J602" s="3">
        <v>12</v>
      </c>
      <c r="K602" s="12">
        <v>264.7</v>
      </c>
      <c r="L602" s="9">
        <v>1218.6400000000001</v>
      </c>
      <c r="M602" s="16">
        <f t="shared" si="45"/>
        <v>3.0273752012882446E-2</v>
      </c>
      <c r="N602" s="18">
        <f t="shared" si="46"/>
        <v>4.2553191489361701E-2</v>
      </c>
      <c r="O602" s="8">
        <f t="shared" si="47"/>
        <v>22.058333333333334</v>
      </c>
      <c r="P602" s="14">
        <f t="shared" si="48"/>
        <v>953.94</v>
      </c>
      <c r="Q602" s="16">
        <f t="shared" si="49"/>
        <v>3.6038534189648663</v>
      </c>
    </row>
    <row r="603" spans="1:17" x14ac:dyDescent="0.2">
      <c r="A603" s="2">
        <v>45709</v>
      </c>
      <c r="B603" s="3" t="s">
        <v>416</v>
      </c>
      <c r="C603" s="3" t="s">
        <v>36</v>
      </c>
      <c r="D603" s="3" t="s">
        <v>37</v>
      </c>
      <c r="E603" s="3" t="s">
        <v>15</v>
      </c>
      <c r="F603" s="3" t="s">
        <v>50</v>
      </c>
      <c r="G603" s="3" t="s">
        <v>17</v>
      </c>
      <c r="H603" s="3">
        <v>4236</v>
      </c>
      <c r="I603" s="3">
        <v>105</v>
      </c>
      <c r="J603" s="3">
        <v>1</v>
      </c>
      <c r="K603" s="12">
        <v>655.4</v>
      </c>
      <c r="L603" s="9">
        <v>172.69</v>
      </c>
      <c r="M603" s="16">
        <f t="shared" si="45"/>
        <v>2.4787535410764873E-2</v>
      </c>
      <c r="N603" s="18">
        <f t="shared" si="46"/>
        <v>9.5238095238095247E-3</v>
      </c>
      <c r="O603" s="8">
        <f t="shared" si="47"/>
        <v>655.4</v>
      </c>
      <c r="P603" s="14">
        <f t="shared" si="48"/>
        <v>-482.71</v>
      </c>
      <c r="Q603" s="16">
        <f t="shared" si="49"/>
        <v>-0.73651205370765949</v>
      </c>
    </row>
    <row r="604" spans="1:17" x14ac:dyDescent="0.2">
      <c r="A604" s="2">
        <v>45709</v>
      </c>
      <c r="B604" s="3" t="s">
        <v>236</v>
      </c>
      <c r="C604" s="3" t="s">
        <v>156</v>
      </c>
      <c r="D604" s="3" t="s">
        <v>46</v>
      </c>
      <c r="E604" s="3" t="s">
        <v>20</v>
      </c>
      <c r="F604" s="3" t="s">
        <v>29</v>
      </c>
      <c r="G604" s="3" t="s">
        <v>21</v>
      </c>
      <c r="H604" s="3">
        <v>10261</v>
      </c>
      <c r="I604" s="3">
        <v>229</v>
      </c>
      <c r="J604" s="3">
        <v>9</v>
      </c>
      <c r="K604" s="12">
        <v>405.97</v>
      </c>
      <c r="L604" s="9">
        <v>932.91</v>
      </c>
      <c r="M604" s="16">
        <f t="shared" si="45"/>
        <v>2.2317512912971446E-2</v>
      </c>
      <c r="N604" s="18">
        <f t="shared" si="46"/>
        <v>3.9301310043668124E-2</v>
      </c>
      <c r="O604" s="8">
        <f t="shared" si="47"/>
        <v>45.107777777777784</v>
      </c>
      <c r="P604" s="14">
        <f t="shared" si="48"/>
        <v>526.93999999999994</v>
      </c>
      <c r="Q604" s="16">
        <f t="shared" si="49"/>
        <v>1.2979776830800303</v>
      </c>
    </row>
    <row r="605" spans="1:17" x14ac:dyDescent="0.2">
      <c r="A605" s="2">
        <v>45709</v>
      </c>
      <c r="B605" s="3" t="s">
        <v>834</v>
      </c>
      <c r="C605" s="3" t="s">
        <v>43</v>
      </c>
      <c r="D605" s="3" t="s">
        <v>37</v>
      </c>
      <c r="E605" s="3" t="s">
        <v>31</v>
      </c>
      <c r="F605" s="3" t="s">
        <v>47</v>
      </c>
      <c r="G605" s="3" t="s">
        <v>21</v>
      </c>
      <c r="H605" s="3">
        <v>4783</v>
      </c>
      <c r="I605" s="3">
        <v>158</v>
      </c>
      <c r="J605" s="3">
        <v>8</v>
      </c>
      <c r="K605" s="12">
        <v>958.63</v>
      </c>
      <c r="L605" s="9">
        <v>1317.85</v>
      </c>
      <c r="M605" s="16">
        <f t="shared" si="45"/>
        <v>3.3033660882291448E-2</v>
      </c>
      <c r="N605" s="18">
        <f t="shared" si="46"/>
        <v>5.0632911392405063E-2</v>
      </c>
      <c r="O605" s="8">
        <f t="shared" si="47"/>
        <v>119.82875</v>
      </c>
      <c r="P605" s="14">
        <f t="shared" si="48"/>
        <v>359.21999999999991</v>
      </c>
      <c r="Q605" s="16">
        <f t="shared" si="49"/>
        <v>0.37472225989172037</v>
      </c>
    </row>
    <row r="606" spans="1:17" x14ac:dyDescent="0.2">
      <c r="A606" s="2">
        <v>45709</v>
      </c>
      <c r="B606" s="3" t="s">
        <v>835</v>
      </c>
      <c r="C606" s="3" t="s">
        <v>39</v>
      </c>
      <c r="D606" s="3" t="s">
        <v>28</v>
      </c>
      <c r="E606" s="3" t="s">
        <v>15</v>
      </c>
      <c r="F606" s="3" t="s">
        <v>16</v>
      </c>
      <c r="G606" s="3" t="s">
        <v>17</v>
      </c>
      <c r="H606" s="3">
        <v>36711</v>
      </c>
      <c r="I606" s="3">
        <v>705</v>
      </c>
      <c r="J606" s="3">
        <v>8</v>
      </c>
      <c r="K606" s="12">
        <v>905.37</v>
      </c>
      <c r="L606" s="9">
        <v>396.6</v>
      </c>
      <c r="M606" s="16">
        <f t="shared" si="45"/>
        <v>1.9204053281032932E-2</v>
      </c>
      <c r="N606" s="18">
        <f t="shared" si="46"/>
        <v>1.1347517730496455E-2</v>
      </c>
      <c r="O606" s="8">
        <f t="shared" si="47"/>
        <v>113.17125</v>
      </c>
      <c r="P606" s="14">
        <f t="shared" si="48"/>
        <v>-508.77</v>
      </c>
      <c r="Q606" s="16">
        <f t="shared" si="49"/>
        <v>-0.56194704927267303</v>
      </c>
    </row>
    <row r="607" spans="1:17" x14ac:dyDescent="0.2">
      <c r="A607" s="2">
        <v>45709</v>
      </c>
      <c r="B607" s="3" t="s">
        <v>836</v>
      </c>
      <c r="C607" s="3" t="s">
        <v>39</v>
      </c>
      <c r="D607" s="3" t="s">
        <v>28</v>
      </c>
      <c r="E607" s="3" t="s">
        <v>31</v>
      </c>
      <c r="F607" s="3" t="s">
        <v>34</v>
      </c>
      <c r="G607" s="3" t="s">
        <v>17</v>
      </c>
      <c r="H607" s="3">
        <v>39342</v>
      </c>
      <c r="I607" s="3">
        <v>1179</v>
      </c>
      <c r="J607" s="3">
        <v>17</v>
      </c>
      <c r="K607" s="12">
        <v>1012.84</v>
      </c>
      <c r="L607" s="9">
        <v>1131.02</v>
      </c>
      <c r="M607" s="16">
        <f t="shared" si="45"/>
        <v>2.9967973158456611E-2</v>
      </c>
      <c r="N607" s="18">
        <f t="shared" si="46"/>
        <v>1.441899915182358E-2</v>
      </c>
      <c r="O607" s="8">
        <f t="shared" si="47"/>
        <v>59.578823529411764</v>
      </c>
      <c r="P607" s="14">
        <f t="shared" si="48"/>
        <v>118.17999999999995</v>
      </c>
      <c r="Q607" s="16">
        <f t="shared" si="49"/>
        <v>0.11668180561589189</v>
      </c>
    </row>
    <row r="608" spans="1:17" x14ac:dyDescent="0.2">
      <c r="A608" s="2">
        <v>45709</v>
      </c>
      <c r="B608" s="3" t="s">
        <v>837</v>
      </c>
      <c r="C608" s="3" t="s">
        <v>120</v>
      </c>
      <c r="D608" s="3" t="s">
        <v>14</v>
      </c>
      <c r="E608" s="3" t="s">
        <v>20</v>
      </c>
      <c r="F608" s="3" t="s">
        <v>47</v>
      </c>
      <c r="G608" s="3" t="s">
        <v>17</v>
      </c>
      <c r="H608" s="3">
        <v>10143</v>
      </c>
      <c r="I608" s="3">
        <v>595</v>
      </c>
      <c r="J608" s="3">
        <v>22</v>
      </c>
      <c r="K608" s="12">
        <v>991.56</v>
      </c>
      <c r="L608" s="9">
        <v>2231.9699999999998</v>
      </c>
      <c r="M608" s="16">
        <f t="shared" si="45"/>
        <v>5.866114561766736E-2</v>
      </c>
      <c r="N608" s="18">
        <f t="shared" si="46"/>
        <v>3.6974789915966387E-2</v>
      </c>
      <c r="O608" s="8">
        <f t="shared" si="47"/>
        <v>45.07090909090909</v>
      </c>
      <c r="P608" s="14">
        <f t="shared" si="48"/>
        <v>1240.4099999999999</v>
      </c>
      <c r="Q608" s="16">
        <f t="shared" si="49"/>
        <v>1.2509681713663319</v>
      </c>
    </row>
    <row r="609" spans="1:17" x14ac:dyDescent="0.2">
      <c r="A609" s="2">
        <v>45709</v>
      </c>
      <c r="B609" s="3" t="s">
        <v>544</v>
      </c>
      <c r="C609" s="3" t="s">
        <v>33</v>
      </c>
      <c r="D609" s="3" t="s">
        <v>28</v>
      </c>
      <c r="E609" s="3" t="s">
        <v>20</v>
      </c>
      <c r="F609" s="3" t="s">
        <v>34</v>
      </c>
      <c r="G609" s="3" t="s">
        <v>21</v>
      </c>
      <c r="H609" s="3">
        <v>36737</v>
      </c>
      <c r="I609" s="3">
        <v>1005</v>
      </c>
      <c r="J609" s="3">
        <v>15</v>
      </c>
      <c r="K609" s="12">
        <v>850.7</v>
      </c>
      <c r="L609" s="9">
        <v>945.76</v>
      </c>
      <c r="M609" s="16">
        <f t="shared" si="45"/>
        <v>2.7356615945776739E-2</v>
      </c>
      <c r="N609" s="18">
        <f t="shared" si="46"/>
        <v>1.4925373134328358E-2</v>
      </c>
      <c r="O609" s="8">
        <f t="shared" si="47"/>
        <v>56.713333333333338</v>
      </c>
      <c r="P609" s="14">
        <f t="shared" si="48"/>
        <v>95.059999999999945</v>
      </c>
      <c r="Q609" s="16">
        <f t="shared" si="49"/>
        <v>0.11174327024803096</v>
      </c>
    </row>
    <row r="610" spans="1:17" x14ac:dyDescent="0.2">
      <c r="A610" s="2">
        <v>45709</v>
      </c>
      <c r="B610" s="3" t="s">
        <v>391</v>
      </c>
      <c r="C610" s="3" t="s">
        <v>97</v>
      </c>
      <c r="D610" s="3" t="s">
        <v>46</v>
      </c>
      <c r="E610" s="3" t="s">
        <v>15</v>
      </c>
      <c r="F610" s="3" t="s">
        <v>16</v>
      </c>
      <c r="G610" s="3" t="s">
        <v>17</v>
      </c>
      <c r="H610" s="3">
        <v>9329</v>
      </c>
      <c r="I610" s="3">
        <v>258</v>
      </c>
      <c r="J610" s="3">
        <v>4</v>
      </c>
      <c r="K610" s="12">
        <v>456.52</v>
      </c>
      <c r="L610" s="9">
        <v>357.9</v>
      </c>
      <c r="M610" s="16">
        <f t="shared" si="45"/>
        <v>2.7655697288026585E-2</v>
      </c>
      <c r="N610" s="18">
        <f t="shared" si="46"/>
        <v>1.5503875968992248E-2</v>
      </c>
      <c r="O610" s="8">
        <f t="shared" si="47"/>
        <v>114.13</v>
      </c>
      <c r="P610" s="14">
        <f t="shared" si="48"/>
        <v>-98.62</v>
      </c>
      <c r="Q610" s="16">
        <f t="shared" si="49"/>
        <v>-0.2160255848593709</v>
      </c>
    </row>
    <row r="611" spans="1:17" x14ac:dyDescent="0.2">
      <c r="A611" s="2">
        <v>45709</v>
      </c>
      <c r="B611" s="3" t="s">
        <v>838</v>
      </c>
      <c r="C611" s="3" t="s">
        <v>41</v>
      </c>
      <c r="D611" s="3" t="s">
        <v>24</v>
      </c>
      <c r="E611" s="3" t="s">
        <v>20</v>
      </c>
      <c r="F611" s="3" t="s">
        <v>50</v>
      </c>
      <c r="G611" s="3" t="s">
        <v>17</v>
      </c>
      <c r="H611" s="3">
        <v>1231</v>
      </c>
      <c r="I611" s="3">
        <v>123</v>
      </c>
      <c r="J611" s="3">
        <v>17</v>
      </c>
      <c r="K611" s="12">
        <v>57.25</v>
      </c>
      <c r="L611" s="9">
        <v>2357.59</v>
      </c>
      <c r="M611" s="16">
        <f t="shared" si="45"/>
        <v>9.9918765231519088E-2</v>
      </c>
      <c r="N611" s="18">
        <f t="shared" si="46"/>
        <v>0.13821138211382114</v>
      </c>
      <c r="O611" s="8">
        <f t="shared" si="47"/>
        <v>3.3676470588235294</v>
      </c>
      <c r="P611" s="14">
        <f t="shared" si="48"/>
        <v>2300.34</v>
      </c>
      <c r="Q611" s="16">
        <f t="shared" si="49"/>
        <v>40.180611353711789</v>
      </c>
    </row>
    <row r="612" spans="1:17" x14ac:dyDescent="0.2">
      <c r="A612" s="2">
        <v>45709</v>
      </c>
      <c r="B612" s="3" t="s">
        <v>839</v>
      </c>
      <c r="C612" s="3" t="s">
        <v>39</v>
      </c>
      <c r="D612" s="3" t="s">
        <v>28</v>
      </c>
      <c r="E612" s="3" t="s">
        <v>15</v>
      </c>
      <c r="F612" s="3" t="s">
        <v>34</v>
      </c>
      <c r="G612" s="3" t="s">
        <v>17</v>
      </c>
      <c r="H612" s="3">
        <v>26218</v>
      </c>
      <c r="I612" s="3">
        <v>477</v>
      </c>
      <c r="J612" s="3">
        <v>5</v>
      </c>
      <c r="K612" s="12">
        <v>394.99</v>
      </c>
      <c r="L612" s="9">
        <v>40.340000000000003</v>
      </c>
      <c r="M612" s="16">
        <f t="shared" si="45"/>
        <v>1.8193607445266612E-2</v>
      </c>
      <c r="N612" s="18">
        <f t="shared" si="46"/>
        <v>1.0482180293501049E-2</v>
      </c>
      <c r="O612" s="8">
        <f t="shared" si="47"/>
        <v>78.998000000000005</v>
      </c>
      <c r="P612" s="14">
        <f t="shared" si="48"/>
        <v>-354.65</v>
      </c>
      <c r="Q612" s="16">
        <f t="shared" si="49"/>
        <v>-0.89787083217296637</v>
      </c>
    </row>
    <row r="613" spans="1:17" x14ac:dyDescent="0.2">
      <c r="A613" s="2">
        <v>45709</v>
      </c>
      <c r="B613" s="3" t="s">
        <v>73</v>
      </c>
      <c r="C613" s="3" t="s">
        <v>52</v>
      </c>
      <c r="D613" s="3" t="s">
        <v>24</v>
      </c>
      <c r="E613" s="3" t="s">
        <v>15</v>
      </c>
      <c r="F613" s="3" t="s">
        <v>16</v>
      </c>
      <c r="G613" s="3" t="s">
        <v>25</v>
      </c>
      <c r="H613" s="3">
        <v>4711</v>
      </c>
      <c r="I613" s="3">
        <v>427</v>
      </c>
      <c r="J613" s="3">
        <v>39</v>
      </c>
      <c r="K613" s="12">
        <v>191.19</v>
      </c>
      <c r="L613" s="9">
        <v>3706.9</v>
      </c>
      <c r="M613" s="16">
        <f t="shared" si="45"/>
        <v>9.0638930163447248E-2</v>
      </c>
      <c r="N613" s="18">
        <f t="shared" si="46"/>
        <v>9.1334894613583142E-2</v>
      </c>
      <c r="O613" s="8">
        <f t="shared" si="47"/>
        <v>4.9023076923076925</v>
      </c>
      <c r="P613" s="14">
        <f t="shared" si="48"/>
        <v>3515.71</v>
      </c>
      <c r="Q613" s="16">
        <f t="shared" si="49"/>
        <v>18.388566347612322</v>
      </c>
    </row>
    <row r="614" spans="1:17" x14ac:dyDescent="0.2">
      <c r="A614" s="2">
        <v>45709</v>
      </c>
      <c r="B614" s="3" t="s">
        <v>170</v>
      </c>
      <c r="C614" s="3" t="s">
        <v>23</v>
      </c>
      <c r="D614" s="3" t="s">
        <v>24</v>
      </c>
      <c r="E614" s="3" t="s">
        <v>20</v>
      </c>
      <c r="F614" s="3" t="s">
        <v>29</v>
      </c>
      <c r="G614" s="3" t="s">
        <v>21</v>
      </c>
      <c r="H614" s="3">
        <v>4742</v>
      </c>
      <c r="I614" s="3">
        <v>521</v>
      </c>
      <c r="J614" s="3">
        <v>68</v>
      </c>
      <c r="K614" s="12">
        <v>122.2</v>
      </c>
      <c r="L614" s="9">
        <v>6526.03</v>
      </c>
      <c r="M614" s="16">
        <f t="shared" si="45"/>
        <v>0.1098692534795445</v>
      </c>
      <c r="N614" s="18">
        <f t="shared" si="46"/>
        <v>0.13051823416506717</v>
      </c>
      <c r="O614" s="8">
        <f t="shared" si="47"/>
        <v>1.7970588235294118</v>
      </c>
      <c r="P614" s="14">
        <f t="shared" si="48"/>
        <v>6403.83</v>
      </c>
      <c r="Q614" s="16">
        <f t="shared" si="49"/>
        <v>52.404500818330604</v>
      </c>
    </row>
    <row r="615" spans="1:17" x14ac:dyDescent="0.2">
      <c r="A615" s="2">
        <v>45709</v>
      </c>
      <c r="B615" s="3" t="s">
        <v>840</v>
      </c>
      <c r="C615" s="3" t="s">
        <v>41</v>
      </c>
      <c r="D615" s="3" t="s">
        <v>24</v>
      </c>
      <c r="E615" s="3" t="s">
        <v>15</v>
      </c>
      <c r="F615" s="3" t="s">
        <v>34</v>
      </c>
      <c r="G615" s="3" t="s">
        <v>17</v>
      </c>
      <c r="H615" s="3">
        <v>2097</v>
      </c>
      <c r="I615" s="3">
        <v>264</v>
      </c>
      <c r="J615" s="3">
        <v>21</v>
      </c>
      <c r="K615" s="12">
        <v>54.26</v>
      </c>
      <c r="L615" s="9">
        <v>1603.24</v>
      </c>
      <c r="M615" s="16">
        <f t="shared" si="45"/>
        <v>0.12589413447782546</v>
      </c>
      <c r="N615" s="18">
        <f t="shared" si="46"/>
        <v>7.9545454545454544E-2</v>
      </c>
      <c r="O615" s="8">
        <f t="shared" si="47"/>
        <v>2.5838095238095238</v>
      </c>
      <c r="P615" s="14">
        <f t="shared" si="48"/>
        <v>1548.98</v>
      </c>
      <c r="Q615" s="16">
        <f t="shared" si="49"/>
        <v>28.547364541098418</v>
      </c>
    </row>
    <row r="616" spans="1:17" x14ac:dyDescent="0.2">
      <c r="A616" s="2">
        <v>45709</v>
      </c>
      <c r="B616" s="3" t="s">
        <v>841</v>
      </c>
      <c r="C616" s="3" t="s">
        <v>13</v>
      </c>
      <c r="D616" s="3" t="s">
        <v>14</v>
      </c>
      <c r="E616" s="3" t="s">
        <v>20</v>
      </c>
      <c r="F616" s="3" t="s">
        <v>50</v>
      </c>
      <c r="G616" s="3" t="s">
        <v>21</v>
      </c>
      <c r="H616" s="3">
        <v>8938</v>
      </c>
      <c r="I616" s="3">
        <v>384</v>
      </c>
      <c r="J616" s="3">
        <v>20</v>
      </c>
      <c r="K616" s="12">
        <v>700.76</v>
      </c>
      <c r="L616" s="9">
        <v>2288.31</v>
      </c>
      <c r="M616" s="16">
        <f t="shared" si="45"/>
        <v>4.2962631461177E-2</v>
      </c>
      <c r="N616" s="18">
        <f t="shared" si="46"/>
        <v>5.2083333333333336E-2</v>
      </c>
      <c r="O616" s="8">
        <f t="shared" si="47"/>
        <v>35.037999999999997</v>
      </c>
      <c r="P616" s="14">
        <f t="shared" si="48"/>
        <v>1587.55</v>
      </c>
      <c r="Q616" s="16">
        <f t="shared" si="49"/>
        <v>2.2654689194588733</v>
      </c>
    </row>
    <row r="617" spans="1:17" x14ac:dyDescent="0.2">
      <c r="A617" s="2">
        <v>45710</v>
      </c>
      <c r="B617" s="3" t="s">
        <v>232</v>
      </c>
      <c r="C617" s="3" t="s">
        <v>120</v>
      </c>
      <c r="D617" s="3" t="s">
        <v>14</v>
      </c>
      <c r="E617" s="3" t="s">
        <v>20</v>
      </c>
      <c r="F617" s="3" t="s">
        <v>29</v>
      </c>
      <c r="G617" s="3" t="s">
        <v>21</v>
      </c>
      <c r="H617" s="3">
        <v>8745</v>
      </c>
      <c r="I617" s="3">
        <v>291</v>
      </c>
      <c r="J617" s="3">
        <v>12</v>
      </c>
      <c r="K617" s="12">
        <v>847.9</v>
      </c>
      <c r="L617" s="9">
        <v>1215.05</v>
      </c>
      <c r="M617" s="16">
        <f t="shared" si="45"/>
        <v>3.3276157804459694E-2</v>
      </c>
      <c r="N617" s="18">
        <f t="shared" si="46"/>
        <v>4.1237113402061855E-2</v>
      </c>
      <c r="O617" s="8">
        <f t="shared" si="47"/>
        <v>70.658333333333331</v>
      </c>
      <c r="P617" s="14">
        <f t="shared" si="48"/>
        <v>367.15</v>
      </c>
      <c r="Q617" s="16">
        <f t="shared" si="49"/>
        <v>0.43301096827456065</v>
      </c>
    </row>
    <row r="618" spans="1:17" x14ac:dyDescent="0.2">
      <c r="A618" s="2">
        <v>45710</v>
      </c>
      <c r="B618" s="3" t="s">
        <v>842</v>
      </c>
      <c r="C618" s="3" t="s">
        <v>71</v>
      </c>
      <c r="D618" s="3" t="s">
        <v>37</v>
      </c>
      <c r="E618" s="3" t="s">
        <v>20</v>
      </c>
      <c r="F618" s="3" t="s">
        <v>29</v>
      </c>
      <c r="G618" s="3" t="s">
        <v>17</v>
      </c>
      <c r="H618" s="3">
        <v>2802</v>
      </c>
      <c r="I618" s="3">
        <v>144</v>
      </c>
      <c r="J618" s="3">
        <v>1</v>
      </c>
      <c r="K618" s="12">
        <v>775.65</v>
      </c>
      <c r="L618" s="9">
        <v>158.63999999999999</v>
      </c>
      <c r="M618" s="16">
        <f t="shared" si="45"/>
        <v>5.1391862955032119E-2</v>
      </c>
      <c r="N618" s="18">
        <f t="shared" si="46"/>
        <v>6.9444444444444441E-3</v>
      </c>
      <c r="O618" s="8">
        <f t="shared" si="47"/>
        <v>775.65</v>
      </c>
      <c r="P618" s="14">
        <f t="shared" si="48"/>
        <v>-617.01</v>
      </c>
      <c r="Q618" s="16">
        <f t="shared" si="49"/>
        <v>-0.79547476310191456</v>
      </c>
    </row>
    <row r="619" spans="1:17" x14ac:dyDescent="0.2">
      <c r="A619" s="2">
        <v>45710</v>
      </c>
      <c r="B619" s="3" t="s">
        <v>843</v>
      </c>
      <c r="C619" s="3" t="s">
        <v>49</v>
      </c>
      <c r="D619" s="3" t="s">
        <v>46</v>
      </c>
      <c r="E619" s="3" t="s">
        <v>20</v>
      </c>
      <c r="F619" s="3" t="s">
        <v>29</v>
      </c>
      <c r="G619" s="3" t="s">
        <v>17</v>
      </c>
      <c r="H619" s="3">
        <v>10281</v>
      </c>
      <c r="I619" s="3">
        <v>284</v>
      </c>
      <c r="J619" s="3">
        <v>6</v>
      </c>
      <c r="K619" s="12">
        <v>414.67</v>
      </c>
      <c r="L619" s="9">
        <v>310.02</v>
      </c>
      <c r="M619" s="16">
        <f t="shared" si="45"/>
        <v>2.7623772006614141E-2</v>
      </c>
      <c r="N619" s="18">
        <f t="shared" si="46"/>
        <v>2.1126760563380281E-2</v>
      </c>
      <c r="O619" s="8">
        <f t="shared" si="47"/>
        <v>69.111666666666665</v>
      </c>
      <c r="P619" s="14">
        <f t="shared" si="48"/>
        <v>-104.65000000000003</v>
      </c>
      <c r="Q619" s="16">
        <f t="shared" si="49"/>
        <v>-0.25236935394410021</v>
      </c>
    </row>
    <row r="620" spans="1:17" x14ac:dyDescent="0.2">
      <c r="A620" s="2">
        <v>45710</v>
      </c>
      <c r="B620" s="3" t="s">
        <v>270</v>
      </c>
      <c r="C620" s="3" t="s">
        <v>97</v>
      </c>
      <c r="D620" s="3" t="s">
        <v>46</v>
      </c>
      <c r="E620" s="3" t="s">
        <v>20</v>
      </c>
      <c r="F620" s="3" t="s">
        <v>16</v>
      </c>
      <c r="G620" s="3" t="s">
        <v>21</v>
      </c>
      <c r="H620" s="3">
        <v>12540</v>
      </c>
      <c r="I620" s="3">
        <v>390</v>
      </c>
      <c r="J620" s="3">
        <v>9</v>
      </c>
      <c r="K620" s="12">
        <v>715.48</v>
      </c>
      <c r="L620" s="9">
        <v>490.76</v>
      </c>
      <c r="M620" s="16">
        <f t="shared" si="45"/>
        <v>3.1100478468899521E-2</v>
      </c>
      <c r="N620" s="18">
        <f t="shared" si="46"/>
        <v>2.3076923076923078E-2</v>
      </c>
      <c r="O620" s="8">
        <f t="shared" si="47"/>
        <v>79.497777777777785</v>
      </c>
      <c r="P620" s="14">
        <f t="shared" si="48"/>
        <v>-224.72000000000003</v>
      </c>
      <c r="Q620" s="16">
        <f t="shared" si="49"/>
        <v>-0.31408285346899989</v>
      </c>
    </row>
    <row r="621" spans="1:17" x14ac:dyDescent="0.2">
      <c r="A621" s="2">
        <v>45710</v>
      </c>
      <c r="B621" s="3" t="s">
        <v>301</v>
      </c>
      <c r="C621" s="3" t="s">
        <v>13</v>
      </c>
      <c r="D621" s="3" t="s">
        <v>14</v>
      </c>
      <c r="E621" s="3" t="s">
        <v>31</v>
      </c>
      <c r="F621" s="3" t="s">
        <v>29</v>
      </c>
      <c r="G621" s="3" t="s">
        <v>17</v>
      </c>
      <c r="H621" s="3">
        <v>5005</v>
      </c>
      <c r="I621" s="3">
        <v>260</v>
      </c>
      <c r="J621" s="3">
        <v>15</v>
      </c>
      <c r="K621" s="12">
        <v>600.04999999999995</v>
      </c>
      <c r="L621" s="9">
        <v>1090.8</v>
      </c>
      <c r="M621" s="16">
        <f t="shared" si="45"/>
        <v>5.1948051948051951E-2</v>
      </c>
      <c r="N621" s="18">
        <f t="shared" si="46"/>
        <v>5.7692307692307696E-2</v>
      </c>
      <c r="O621" s="8">
        <f t="shared" si="47"/>
        <v>40.00333333333333</v>
      </c>
      <c r="P621" s="14">
        <f t="shared" si="48"/>
        <v>490.75</v>
      </c>
      <c r="Q621" s="16">
        <f t="shared" si="49"/>
        <v>0.81784851262394809</v>
      </c>
    </row>
    <row r="622" spans="1:17" x14ac:dyDescent="0.2">
      <c r="A622" s="2">
        <v>45710</v>
      </c>
      <c r="B622" s="3" t="s">
        <v>440</v>
      </c>
      <c r="C622" s="3" t="s">
        <v>156</v>
      </c>
      <c r="D622" s="3" t="s">
        <v>46</v>
      </c>
      <c r="E622" s="3" t="s">
        <v>20</v>
      </c>
      <c r="F622" s="3" t="s">
        <v>47</v>
      </c>
      <c r="G622" s="3" t="s">
        <v>17</v>
      </c>
      <c r="H622" s="3">
        <v>8770</v>
      </c>
      <c r="I622" s="3">
        <v>348</v>
      </c>
      <c r="J622" s="3">
        <v>6</v>
      </c>
      <c r="K622" s="12">
        <v>656.9</v>
      </c>
      <c r="L622" s="9">
        <v>396.25</v>
      </c>
      <c r="M622" s="16">
        <f t="shared" si="45"/>
        <v>3.9680729760547317E-2</v>
      </c>
      <c r="N622" s="18">
        <f t="shared" si="46"/>
        <v>1.7241379310344827E-2</v>
      </c>
      <c r="O622" s="8">
        <f t="shared" si="47"/>
        <v>109.48333333333333</v>
      </c>
      <c r="P622" s="14">
        <f t="shared" si="48"/>
        <v>-260.64999999999998</v>
      </c>
      <c r="Q622" s="16">
        <f t="shared" si="49"/>
        <v>-0.39678794337037598</v>
      </c>
    </row>
    <row r="623" spans="1:17" x14ac:dyDescent="0.2">
      <c r="A623" s="2">
        <v>45710</v>
      </c>
      <c r="B623" s="3" t="s">
        <v>844</v>
      </c>
      <c r="C623" s="3" t="s">
        <v>74</v>
      </c>
      <c r="D623" s="3" t="s">
        <v>28</v>
      </c>
      <c r="E623" s="3" t="s">
        <v>31</v>
      </c>
      <c r="F623" s="3" t="s">
        <v>50</v>
      </c>
      <c r="G623" s="3" t="s">
        <v>17</v>
      </c>
      <c r="H623" s="3">
        <v>22306</v>
      </c>
      <c r="I623" s="3">
        <v>423</v>
      </c>
      <c r="J623" s="3">
        <v>6</v>
      </c>
      <c r="K623" s="12">
        <v>444.25</v>
      </c>
      <c r="L623" s="9">
        <v>318.56</v>
      </c>
      <c r="M623" s="16">
        <f t="shared" si="45"/>
        <v>1.8963507576436833E-2</v>
      </c>
      <c r="N623" s="18">
        <f t="shared" si="46"/>
        <v>1.4184397163120567E-2</v>
      </c>
      <c r="O623" s="8">
        <f t="shared" si="47"/>
        <v>74.041666666666671</v>
      </c>
      <c r="P623" s="14">
        <f t="shared" si="48"/>
        <v>-125.69</v>
      </c>
      <c r="Q623" s="16">
        <f t="shared" si="49"/>
        <v>-0.2829262802476083</v>
      </c>
    </row>
    <row r="624" spans="1:17" x14ac:dyDescent="0.2">
      <c r="A624" s="2">
        <v>45710</v>
      </c>
      <c r="B624" s="3" t="s">
        <v>845</v>
      </c>
      <c r="C624" s="3" t="s">
        <v>156</v>
      </c>
      <c r="D624" s="3" t="s">
        <v>46</v>
      </c>
      <c r="E624" s="3" t="s">
        <v>15</v>
      </c>
      <c r="F624" s="3" t="s">
        <v>34</v>
      </c>
      <c r="G624" s="3" t="s">
        <v>17</v>
      </c>
      <c r="H624" s="3">
        <v>18427</v>
      </c>
      <c r="I624" s="3">
        <v>411</v>
      </c>
      <c r="J624" s="3">
        <v>7</v>
      </c>
      <c r="K624" s="12">
        <v>454.84</v>
      </c>
      <c r="L624" s="9">
        <v>524.71</v>
      </c>
      <c r="M624" s="16">
        <f t="shared" si="45"/>
        <v>2.2304227492266782E-2</v>
      </c>
      <c r="N624" s="18">
        <f t="shared" si="46"/>
        <v>1.7031630170316302E-2</v>
      </c>
      <c r="O624" s="8">
        <f t="shared" si="47"/>
        <v>64.977142857142852</v>
      </c>
      <c r="P624" s="14">
        <f t="shared" si="48"/>
        <v>69.870000000000061</v>
      </c>
      <c r="Q624" s="16">
        <f t="shared" si="49"/>
        <v>0.15361445783132543</v>
      </c>
    </row>
    <row r="625" spans="1:17" x14ac:dyDescent="0.2">
      <c r="A625" s="2">
        <v>45710</v>
      </c>
      <c r="B625" s="3" t="s">
        <v>846</v>
      </c>
      <c r="C625" s="3" t="s">
        <v>120</v>
      </c>
      <c r="D625" s="3" t="s">
        <v>14</v>
      </c>
      <c r="E625" s="3" t="s">
        <v>15</v>
      </c>
      <c r="F625" s="3" t="s">
        <v>50</v>
      </c>
      <c r="G625" s="3" t="s">
        <v>25</v>
      </c>
      <c r="H625" s="3">
        <v>8827</v>
      </c>
      <c r="I625" s="3">
        <v>327</v>
      </c>
      <c r="J625" s="3">
        <v>10</v>
      </c>
      <c r="K625" s="12">
        <v>523.46</v>
      </c>
      <c r="L625" s="9">
        <v>1114.6500000000001</v>
      </c>
      <c r="M625" s="16">
        <f t="shared" si="45"/>
        <v>3.7045428798006118E-2</v>
      </c>
      <c r="N625" s="18">
        <f t="shared" si="46"/>
        <v>3.0581039755351681E-2</v>
      </c>
      <c r="O625" s="8">
        <f t="shared" si="47"/>
        <v>52.346000000000004</v>
      </c>
      <c r="P625" s="14">
        <f t="shared" si="48"/>
        <v>591.19000000000005</v>
      </c>
      <c r="Q625" s="16">
        <f t="shared" si="49"/>
        <v>1.1293890650670539</v>
      </c>
    </row>
    <row r="626" spans="1:17" x14ac:dyDescent="0.2">
      <c r="A626" s="2">
        <v>45710</v>
      </c>
      <c r="B626" s="3" t="s">
        <v>847</v>
      </c>
      <c r="C626" s="3" t="s">
        <v>13</v>
      </c>
      <c r="D626" s="3" t="s">
        <v>14</v>
      </c>
      <c r="E626" s="3" t="s">
        <v>31</v>
      </c>
      <c r="F626" s="3" t="s">
        <v>16</v>
      </c>
      <c r="G626" s="3" t="s">
        <v>17</v>
      </c>
      <c r="H626" s="3">
        <v>14991</v>
      </c>
      <c r="I626" s="3">
        <v>784</v>
      </c>
      <c r="J626" s="3">
        <v>52</v>
      </c>
      <c r="K626" s="12">
        <v>1534.8</v>
      </c>
      <c r="L626" s="9">
        <v>5626.46</v>
      </c>
      <c r="M626" s="16">
        <f t="shared" si="45"/>
        <v>5.2298045493963045E-2</v>
      </c>
      <c r="N626" s="18">
        <f t="shared" si="46"/>
        <v>6.6326530612244902E-2</v>
      </c>
      <c r="O626" s="8">
        <f t="shared" si="47"/>
        <v>29.515384615384615</v>
      </c>
      <c r="P626" s="14">
        <f t="shared" si="48"/>
        <v>4091.66</v>
      </c>
      <c r="Q626" s="16">
        <f t="shared" si="49"/>
        <v>2.665923898879333</v>
      </c>
    </row>
    <row r="627" spans="1:17" x14ac:dyDescent="0.2">
      <c r="A627" s="2">
        <v>45711</v>
      </c>
      <c r="B627" s="3" t="s">
        <v>848</v>
      </c>
      <c r="C627" s="3" t="s">
        <v>43</v>
      </c>
      <c r="D627" s="3" t="s">
        <v>37</v>
      </c>
      <c r="E627" s="3" t="s">
        <v>20</v>
      </c>
      <c r="F627" s="3" t="s">
        <v>47</v>
      </c>
      <c r="G627" s="3" t="s">
        <v>17</v>
      </c>
      <c r="H627" s="3">
        <v>3148</v>
      </c>
      <c r="I627" s="3">
        <v>161</v>
      </c>
      <c r="J627" s="3">
        <v>4</v>
      </c>
      <c r="K627" s="12">
        <v>952.19</v>
      </c>
      <c r="L627" s="9">
        <v>183.94</v>
      </c>
      <c r="M627" s="16">
        <f t="shared" si="45"/>
        <v>5.1143583227445999E-2</v>
      </c>
      <c r="N627" s="18">
        <f t="shared" si="46"/>
        <v>2.4844720496894408E-2</v>
      </c>
      <c r="O627" s="8">
        <f t="shared" si="47"/>
        <v>238.04750000000001</v>
      </c>
      <c r="P627" s="14">
        <f t="shared" si="48"/>
        <v>-768.25</v>
      </c>
      <c r="Q627" s="16">
        <f t="shared" si="49"/>
        <v>-0.80682426826578724</v>
      </c>
    </row>
    <row r="628" spans="1:17" x14ac:dyDescent="0.2">
      <c r="A628" s="2">
        <v>45711</v>
      </c>
      <c r="B628" s="3" t="s">
        <v>849</v>
      </c>
      <c r="C628" s="3" t="s">
        <v>27</v>
      </c>
      <c r="D628" s="3" t="s">
        <v>28</v>
      </c>
      <c r="E628" s="3" t="s">
        <v>31</v>
      </c>
      <c r="F628" s="3" t="s">
        <v>47</v>
      </c>
      <c r="G628" s="3" t="s">
        <v>17</v>
      </c>
      <c r="H628" s="3">
        <v>18743</v>
      </c>
      <c r="I628" s="3">
        <v>574</v>
      </c>
      <c r="J628" s="3">
        <v>7</v>
      </c>
      <c r="K628" s="12">
        <v>830.86</v>
      </c>
      <c r="L628" s="9">
        <v>326.06</v>
      </c>
      <c r="M628" s="16">
        <f t="shared" si="45"/>
        <v>3.0624766579523021E-2</v>
      </c>
      <c r="N628" s="18">
        <f t="shared" si="46"/>
        <v>1.2195121951219513E-2</v>
      </c>
      <c r="O628" s="8">
        <f t="shared" si="47"/>
        <v>118.69428571428571</v>
      </c>
      <c r="P628" s="14">
        <f t="shared" si="48"/>
        <v>-504.8</v>
      </c>
      <c r="Q628" s="16">
        <f t="shared" si="49"/>
        <v>-0.60756324771923065</v>
      </c>
    </row>
    <row r="629" spans="1:17" x14ac:dyDescent="0.2">
      <c r="A629" s="2">
        <v>45711</v>
      </c>
      <c r="B629" s="3" t="s">
        <v>216</v>
      </c>
      <c r="C629" s="3" t="s">
        <v>27</v>
      </c>
      <c r="D629" s="3" t="s">
        <v>28</v>
      </c>
      <c r="E629" s="3" t="s">
        <v>15</v>
      </c>
      <c r="F629" s="3" t="s">
        <v>47</v>
      </c>
      <c r="G629" s="3" t="s">
        <v>21</v>
      </c>
      <c r="H629" s="3">
        <v>37363</v>
      </c>
      <c r="I629" s="3">
        <v>760</v>
      </c>
      <c r="J629" s="3">
        <v>13</v>
      </c>
      <c r="K629" s="12">
        <v>895.73</v>
      </c>
      <c r="L629" s="9">
        <v>176.01</v>
      </c>
      <c r="M629" s="16">
        <f t="shared" si="45"/>
        <v>2.0340979043438696E-2</v>
      </c>
      <c r="N629" s="18">
        <f t="shared" si="46"/>
        <v>1.7105263157894738E-2</v>
      </c>
      <c r="O629" s="8">
        <f t="shared" si="47"/>
        <v>68.902307692307687</v>
      </c>
      <c r="P629" s="14">
        <f t="shared" si="48"/>
        <v>-719.72</v>
      </c>
      <c r="Q629" s="16">
        <f t="shared" si="49"/>
        <v>-0.80350105500541458</v>
      </c>
    </row>
    <row r="630" spans="1:17" x14ac:dyDescent="0.2">
      <c r="A630" s="2">
        <v>45711</v>
      </c>
      <c r="B630" s="3" t="s">
        <v>850</v>
      </c>
      <c r="C630" s="3" t="s">
        <v>27</v>
      </c>
      <c r="D630" s="3" t="s">
        <v>28</v>
      </c>
      <c r="E630" s="3" t="s">
        <v>31</v>
      </c>
      <c r="F630" s="3" t="s">
        <v>34</v>
      </c>
      <c r="G630" s="3" t="s">
        <v>17</v>
      </c>
      <c r="H630" s="3">
        <v>29229</v>
      </c>
      <c r="I630" s="3">
        <v>419</v>
      </c>
      <c r="J630" s="3">
        <v>7</v>
      </c>
      <c r="K630" s="12">
        <v>556.44000000000005</v>
      </c>
      <c r="L630" s="9">
        <v>524.15</v>
      </c>
      <c r="M630" s="16">
        <f t="shared" si="45"/>
        <v>1.4335078175784324E-2</v>
      </c>
      <c r="N630" s="18">
        <f t="shared" si="46"/>
        <v>1.6706443914081145E-2</v>
      </c>
      <c r="O630" s="8">
        <f t="shared" si="47"/>
        <v>79.491428571428585</v>
      </c>
      <c r="P630" s="14">
        <f t="shared" si="48"/>
        <v>-32.290000000000077</v>
      </c>
      <c r="Q630" s="16">
        <f t="shared" si="49"/>
        <v>-5.8029616849974971E-2</v>
      </c>
    </row>
    <row r="631" spans="1:17" x14ac:dyDescent="0.2">
      <c r="A631" s="2">
        <v>45711</v>
      </c>
      <c r="B631" s="3" t="s">
        <v>534</v>
      </c>
      <c r="C631" s="3" t="s">
        <v>36</v>
      </c>
      <c r="D631" s="3" t="s">
        <v>37</v>
      </c>
      <c r="E631" s="3" t="s">
        <v>20</v>
      </c>
      <c r="F631" s="3" t="s">
        <v>34</v>
      </c>
      <c r="G631" s="3" t="s">
        <v>17</v>
      </c>
      <c r="H631" s="3">
        <v>3905</v>
      </c>
      <c r="I631" s="3">
        <v>149</v>
      </c>
      <c r="J631" s="3">
        <v>1</v>
      </c>
      <c r="K631" s="12">
        <v>1040.46</v>
      </c>
      <c r="L631" s="9">
        <v>8.16</v>
      </c>
      <c r="M631" s="16">
        <f t="shared" si="45"/>
        <v>3.8156209987195905E-2</v>
      </c>
      <c r="N631" s="18">
        <f t="shared" si="46"/>
        <v>6.7114093959731542E-3</v>
      </c>
      <c r="O631" s="8">
        <f t="shared" si="47"/>
        <v>1040.46</v>
      </c>
      <c r="P631" s="14">
        <f t="shared" si="48"/>
        <v>-1032.3</v>
      </c>
      <c r="Q631" s="16">
        <f t="shared" si="49"/>
        <v>-0.99215731503373505</v>
      </c>
    </row>
    <row r="632" spans="1:17" x14ac:dyDescent="0.2">
      <c r="A632" s="2">
        <v>45711</v>
      </c>
      <c r="B632" s="3" t="s">
        <v>851</v>
      </c>
      <c r="C632" s="3" t="s">
        <v>45</v>
      </c>
      <c r="D632" s="3" t="s">
        <v>46</v>
      </c>
      <c r="E632" s="3" t="s">
        <v>20</v>
      </c>
      <c r="F632" s="3" t="s">
        <v>29</v>
      </c>
      <c r="G632" s="3" t="s">
        <v>17</v>
      </c>
      <c r="H632" s="3">
        <v>16121</v>
      </c>
      <c r="I632" s="3">
        <v>667</v>
      </c>
      <c r="J632" s="3">
        <v>17</v>
      </c>
      <c r="K632" s="12">
        <v>865.67</v>
      </c>
      <c r="L632" s="9">
        <v>1459.41</v>
      </c>
      <c r="M632" s="16">
        <f t="shared" si="45"/>
        <v>4.1374604553067428E-2</v>
      </c>
      <c r="N632" s="18">
        <f t="shared" si="46"/>
        <v>2.5487256371814093E-2</v>
      </c>
      <c r="O632" s="8">
        <f t="shared" si="47"/>
        <v>50.921764705882353</v>
      </c>
      <c r="P632" s="14">
        <f t="shared" si="48"/>
        <v>593.74000000000012</v>
      </c>
      <c r="Q632" s="16">
        <f t="shared" si="49"/>
        <v>0.68587336975983937</v>
      </c>
    </row>
    <row r="633" spans="1:17" x14ac:dyDescent="0.2">
      <c r="A633" s="2">
        <v>45711</v>
      </c>
      <c r="B633" s="3" t="s">
        <v>852</v>
      </c>
      <c r="C633" s="3" t="s">
        <v>54</v>
      </c>
      <c r="D633" s="3" t="s">
        <v>14</v>
      </c>
      <c r="E633" s="3" t="s">
        <v>20</v>
      </c>
      <c r="F633" s="3" t="s">
        <v>50</v>
      </c>
      <c r="G633" s="3" t="s">
        <v>17</v>
      </c>
      <c r="H633" s="3">
        <v>14167</v>
      </c>
      <c r="I633" s="3">
        <v>756</v>
      </c>
      <c r="J633" s="3">
        <v>26</v>
      </c>
      <c r="K633" s="12">
        <v>2228.98</v>
      </c>
      <c r="L633" s="9">
        <v>2457.02</v>
      </c>
      <c r="M633" s="16">
        <f t="shared" si="45"/>
        <v>5.336345027175831E-2</v>
      </c>
      <c r="N633" s="18">
        <f t="shared" si="46"/>
        <v>3.439153439153439E-2</v>
      </c>
      <c r="O633" s="8">
        <f t="shared" si="47"/>
        <v>85.73</v>
      </c>
      <c r="P633" s="14">
        <f t="shared" si="48"/>
        <v>228.03999999999996</v>
      </c>
      <c r="Q633" s="16">
        <f t="shared" si="49"/>
        <v>0.10230688476343437</v>
      </c>
    </row>
    <row r="634" spans="1:17" x14ac:dyDescent="0.2">
      <c r="A634" s="2">
        <v>45712</v>
      </c>
      <c r="B634" s="3" t="s">
        <v>284</v>
      </c>
      <c r="C634" s="3" t="s">
        <v>110</v>
      </c>
      <c r="D634" s="3" t="s">
        <v>24</v>
      </c>
      <c r="E634" s="3" t="s">
        <v>20</v>
      </c>
      <c r="F634" s="3" t="s">
        <v>50</v>
      </c>
      <c r="G634" s="3" t="s">
        <v>21</v>
      </c>
      <c r="H634" s="3">
        <v>4920</v>
      </c>
      <c r="I634" s="3">
        <v>670</v>
      </c>
      <c r="J634" s="3">
        <v>108</v>
      </c>
      <c r="K634" s="12">
        <v>271.23</v>
      </c>
      <c r="L634" s="9">
        <v>14299.02</v>
      </c>
      <c r="M634" s="16">
        <f t="shared" si="45"/>
        <v>0.13617886178861788</v>
      </c>
      <c r="N634" s="18">
        <f t="shared" si="46"/>
        <v>0.16119402985074627</v>
      </c>
      <c r="O634" s="8">
        <f t="shared" si="47"/>
        <v>2.5113888888888889</v>
      </c>
      <c r="P634" s="14">
        <f t="shared" si="48"/>
        <v>14027.79</v>
      </c>
      <c r="Q634" s="16">
        <f t="shared" si="49"/>
        <v>51.719168233602474</v>
      </c>
    </row>
    <row r="635" spans="1:17" x14ac:dyDescent="0.2">
      <c r="A635" s="2">
        <v>45712</v>
      </c>
      <c r="B635" s="3" t="s">
        <v>488</v>
      </c>
      <c r="C635" s="3" t="s">
        <v>97</v>
      </c>
      <c r="D635" s="3" t="s">
        <v>46</v>
      </c>
      <c r="E635" s="3" t="s">
        <v>20</v>
      </c>
      <c r="F635" s="3" t="s">
        <v>47</v>
      </c>
      <c r="G635" s="3" t="s">
        <v>17</v>
      </c>
      <c r="H635" s="3">
        <v>8322</v>
      </c>
      <c r="I635" s="3">
        <v>258</v>
      </c>
      <c r="J635" s="3">
        <v>6</v>
      </c>
      <c r="K635" s="12">
        <v>417.24</v>
      </c>
      <c r="L635" s="9">
        <v>328.23</v>
      </c>
      <c r="M635" s="16">
        <f t="shared" si="45"/>
        <v>3.1002162941600575E-2</v>
      </c>
      <c r="N635" s="18">
        <f t="shared" si="46"/>
        <v>2.3255813953488372E-2</v>
      </c>
      <c r="O635" s="8">
        <f t="shared" si="47"/>
        <v>69.540000000000006</v>
      </c>
      <c r="P635" s="14">
        <f t="shared" si="48"/>
        <v>-89.009999999999991</v>
      </c>
      <c r="Q635" s="16">
        <f t="shared" si="49"/>
        <v>-0.21333045729076788</v>
      </c>
    </row>
    <row r="636" spans="1:17" x14ac:dyDescent="0.2">
      <c r="A636" s="2">
        <v>45712</v>
      </c>
      <c r="B636" s="3" t="s">
        <v>460</v>
      </c>
      <c r="C636" s="3" t="s">
        <v>156</v>
      </c>
      <c r="D636" s="3" t="s">
        <v>46</v>
      </c>
      <c r="E636" s="3" t="s">
        <v>15</v>
      </c>
      <c r="F636" s="3" t="s">
        <v>16</v>
      </c>
      <c r="G636" s="3" t="s">
        <v>17</v>
      </c>
      <c r="H636" s="3">
        <v>17491</v>
      </c>
      <c r="I636" s="3">
        <v>654</v>
      </c>
      <c r="J636" s="3">
        <v>11</v>
      </c>
      <c r="K636" s="12">
        <v>886.21</v>
      </c>
      <c r="L636" s="9">
        <v>864.8</v>
      </c>
      <c r="M636" s="16">
        <f t="shared" si="45"/>
        <v>3.739065805271282E-2</v>
      </c>
      <c r="N636" s="18">
        <f t="shared" si="46"/>
        <v>1.6819571865443424E-2</v>
      </c>
      <c r="O636" s="8">
        <f t="shared" si="47"/>
        <v>80.564545454545453</v>
      </c>
      <c r="P636" s="14">
        <f t="shared" si="48"/>
        <v>-21.410000000000082</v>
      </c>
      <c r="Q636" s="16">
        <f t="shared" si="49"/>
        <v>-2.4159059365161849E-2</v>
      </c>
    </row>
    <row r="637" spans="1:17" x14ac:dyDescent="0.2">
      <c r="A637" s="2">
        <v>45712</v>
      </c>
      <c r="B637" s="3" t="s">
        <v>853</v>
      </c>
      <c r="C637" s="3" t="s">
        <v>74</v>
      </c>
      <c r="D637" s="3" t="s">
        <v>28</v>
      </c>
      <c r="E637" s="3" t="s">
        <v>15</v>
      </c>
      <c r="F637" s="3" t="s">
        <v>47</v>
      </c>
      <c r="G637" s="3" t="s">
        <v>17</v>
      </c>
      <c r="H637" s="3">
        <v>30928</v>
      </c>
      <c r="I637" s="3">
        <v>292</v>
      </c>
      <c r="J637" s="3">
        <v>2</v>
      </c>
      <c r="K637" s="12">
        <v>344.51</v>
      </c>
      <c r="L637" s="9">
        <v>122.16</v>
      </c>
      <c r="M637" s="16">
        <f t="shared" si="45"/>
        <v>9.4412829798241078E-3</v>
      </c>
      <c r="N637" s="18">
        <f t="shared" si="46"/>
        <v>6.8493150684931503E-3</v>
      </c>
      <c r="O637" s="8">
        <f t="shared" si="47"/>
        <v>172.255</v>
      </c>
      <c r="P637" s="14">
        <f t="shared" si="48"/>
        <v>-222.35</v>
      </c>
      <c r="Q637" s="16">
        <f t="shared" si="49"/>
        <v>-0.64540942207773355</v>
      </c>
    </row>
    <row r="638" spans="1:17" x14ac:dyDescent="0.2">
      <c r="A638" s="2">
        <v>45712</v>
      </c>
      <c r="B638" s="3" t="s">
        <v>342</v>
      </c>
      <c r="C638" s="3" t="s">
        <v>97</v>
      </c>
      <c r="D638" s="3" t="s">
        <v>46</v>
      </c>
      <c r="E638" s="3" t="s">
        <v>20</v>
      </c>
      <c r="F638" s="3" t="s">
        <v>50</v>
      </c>
      <c r="G638" s="3" t="s">
        <v>17</v>
      </c>
      <c r="H638" s="3">
        <v>8302</v>
      </c>
      <c r="I638" s="3">
        <v>227</v>
      </c>
      <c r="J638" s="3">
        <v>7</v>
      </c>
      <c r="K638" s="12">
        <v>361.95</v>
      </c>
      <c r="L638" s="9">
        <v>536.14</v>
      </c>
      <c r="M638" s="16">
        <f t="shared" si="45"/>
        <v>2.7342808961695976E-2</v>
      </c>
      <c r="N638" s="18">
        <f t="shared" si="46"/>
        <v>3.0837004405286344E-2</v>
      </c>
      <c r="O638" s="8">
        <f t="shared" si="47"/>
        <v>51.707142857142856</v>
      </c>
      <c r="P638" s="14">
        <f t="shared" si="48"/>
        <v>174.19</v>
      </c>
      <c r="Q638" s="16">
        <f t="shared" si="49"/>
        <v>0.48125431689459869</v>
      </c>
    </row>
    <row r="639" spans="1:17" x14ac:dyDescent="0.2">
      <c r="A639" s="2">
        <v>45712</v>
      </c>
      <c r="B639" s="3" t="s">
        <v>854</v>
      </c>
      <c r="C639" s="3" t="s">
        <v>39</v>
      </c>
      <c r="D639" s="3" t="s">
        <v>28</v>
      </c>
      <c r="E639" s="3" t="s">
        <v>31</v>
      </c>
      <c r="F639" s="3" t="s">
        <v>34</v>
      </c>
      <c r="G639" s="3" t="s">
        <v>17</v>
      </c>
      <c r="H639" s="3">
        <v>33734</v>
      </c>
      <c r="I639" s="3">
        <v>755</v>
      </c>
      <c r="J639" s="3">
        <v>11</v>
      </c>
      <c r="K639" s="12">
        <v>1059.17</v>
      </c>
      <c r="L639" s="9">
        <v>861.1</v>
      </c>
      <c r="M639" s="16">
        <f t="shared" si="45"/>
        <v>2.2380980613031363E-2</v>
      </c>
      <c r="N639" s="18">
        <f t="shared" si="46"/>
        <v>1.456953642384106E-2</v>
      </c>
      <c r="O639" s="8">
        <f t="shared" si="47"/>
        <v>96.288181818181826</v>
      </c>
      <c r="P639" s="14">
        <f t="shared" si="48"/>
        <v>-198.07000000000005</v>
      </c>
      <c r="Q639" s="16">
        <f t="shared" si="49"/>
        <v>-0.18700491894596716</v>
      </c>
    </row>
    <row r="640" spans="1:17" x14ac:dyDescent="0.2">
      <c r="A640" s="2">
        <v>45712</v>
      </c>
      <c r="B640" s="3" t="s">
        <v>855</v>
      </c>
      <c r="C640" s="3" t="s">
        <v>156</v>
      </c>
      <c r="D640" s="3" t="s">
        <v>46</v>
      </c>
      <c r="E640" s="3" t="s">
        <v>31</v>
      </c>
      <c r="F640" s="3" t="s">
        <v>16</v>
      </c>
      <c r="G640" s="3" t="s">
        <v>17</v>
      </c>
      <c r="H640" s="3">
        <v>18031</v>
      </c>
      <c r="I640" s="3">
        <v>557</v>
      </c>
      <c r="J640" s="3">
        <v>15</v>
      </c>
      <c r="K640" s="12">
        <v>602.12</v>
      </c>
      <c r="L640" s="9">
        <v>868.11</v>
      </c>
      <c r="M640" s="16">
        <f t="shared" si="45"/>
        <v>3.0891242859519715E-2</v>
      </c>
      <c r="N640" s="18">
        <f t="shared" si="46"/>
        <v>2.6929982046678635E-2</v>
      </c>
      <c r="O640" s="8">
        <f t="shared" si="47"/>
        <v>40.141333333333336</v>
      </c>
      <c r="P640" s="14">
        <f t="shared" si="48"/>
        <v>265.99</v>
      </c>
      <c r="Q640" s="16">
        <f t="shared" si="49"/>
        <v>0.4417557961868066</v>
      </c>
    </row>
    <row r="641" spans="1:17" x14ac:dyDescent="0.2">
      <c r="A641" s="2">
        <v>45712</v>
      </c>
      <c r="B641" s="3" t="s">
        <v>404</v>
      </c>
      <c r="C641" s="3" t="s">
        <v>36</v>
      </c>
      <c r="D641" s="3" t="s">
        <v>37</v>
      </c>
      <c r="E641" s="3" t="s">
        <v>20</v>
      </c>
      <c r="F641" s="3" t="s">
        <v>29</v>
      </c>
      <c r="G641" s="3" t="s">
        <v>21</v>
      </c>
      <c r="H641" s="3">
        <v>4226</v>
      </c>
      <c r="I641" s="3">
        <v>114</v>
      </c>
      <c r="J641" s="3">
        <v>2</v>
      </c>
      <c r="K641" s="12">
        <v>789.93</v>
      </c>
      <c r="L641" s="9">
        <v>397.56</v>
      </c>
      <c r="M641" s="16">
        <f t="shared" si="45"/>
        <v>2.6975863700899196E-2</v>
      </c>
      <c r="N641" s="18">
        <f t="shared" si="46"/>
        <v>1.7543859649122806E-2</v>
      </c>
      <c r="O641" s="8">
        <f t="shared" si="47"/>
        <v>394.96499999999997</v>
      </c>
      <c r="P641" s="14">
        <f t="shared" si="48"/>
        <v>-392.36999999999995</v>
      </c>
      <c r="Q641" s="16">
        <f t="shared" si="49"/>
        <v>-0.49671489878850023</v>
      </c>
    </row>
    <row r="642" spans="1:17" x14ac:dyDescent="0.2">
      <c r="A642" s="2">
        <v>45712</v>
      </c>
      <c r="B642" s="3" t="s">
        <v>856</v>
      </c>
      <c r="C642" s="3" t="s">
        <v>120</v>
      </c>
      <c r="D642" s="3" t="s">
        <v>14</v>
      </c>
      <c r="E642" s="3" t="s">
        <v>20</v>
      </c>
      <c r="F642" s="3" t="s">
        <v>34</v>
      </c>
      <c r="G642" s="3" t="s">
        <v>17</v>
      </c>
      <c r="H642" s="3">
        <v>7217</v>
      </c>
      <c r="I642" s="3">
        <v>356</v>
      </c>
      <c r="J642" s="3">
        <v>16</v>
      </c>
      <c r="K642" s="12">
        <v>695.48</v>
      </c>
      <c r="L642" s="9">
        <v>1640.86</v>
      </c>
      <c r="M642" s="16">
        <f t="shared" si="45"/>
        <v>4.9327975613135649E-2</v>
      </c>
      <c r="N642" s="18">
        <f t="shared" si="46"/>
        <v>4.49438202247191E-2</v>
      </c>
      <c r="O642" s="8">
        <f t="shared" si="47"/>
        <v>43.467500000000001</v>
      </c>
      <c r="P642" s="14">
        <f t="shared" si="48"/>
        <v>945.37999999999988</v>
      </c>
      <c r="Q642" s="16">
        <f t="shared" si="49"/>
        <v>1.3593201817449816</v>
      </c>
    </row>
    <row r="643" spans="1:17" x14ac:dyDescent="0.2">
      <c r="A643" s="2">
        <v>45712</v>
      </c>
      <c r="B643" s="3" t="s">
        <v>857</v>
      </c>
      <c r="C643" s="3" t="s">
        <v>58</v>
      </c>
      <c r="D643" s="3" t="s">
        <v>37</v>
      </c>
      <c r="E643" s="3" t="s">
        <v>31</v>
      </c>
      <c r="F643" s="3" t="s">
        <v>47</v>
      </c>
      <c r="G643" s="3" t="s">
        <v>17</v>
      </c>
      <c r="H643" s="3">
        <v>2809</v>
      </c>
      <c r="I643" s="3">
        <v>134</v>
      </c>
      <c r="J643" s="3">
        <v>4</v>
      </c>
      <c r="K643" s="12">
        <v>752.21</v>
      </c>
      <c r="L643" s="9">
        <v>717.96</v>
      </c>
      <c r="M643" s="16">
        <f t="shared" ref="M643:M706" si="50">IFERROR(I643/H643,0)</f>
        <v>4.770380918476326E-2</v>
      </c>
      <c r="N643" s="18">
        <f t="shared" ref="N643:N706" si="51">IFERROR(J643/I643,0)</f>
        <v>2.9850746268656716E-2</v>
      </c>
      <c r="O643" s="8">
        <f t="shared" ref="O643:O706" si="52">IFERROR(K643/J643,0)</f>
        <v>188.05250000000001</v>
      </c>
      <c r="P643" s="14">
        <f t="shared" ref="P643:P706" si="53">L643-K643</f>
        <v>-34.25</v>
      </c>
      <c r="Q643" s="16">
        <f t="shared" ref="Q643:Q706" si="54">IFERROR((L643-K643)/K643,0)</f>
        <v>-4.5532497573815819E-2</v>
      </c>
    </row>
    <row r="644" spans="1:17" x14ac:dyDescent="0.2">
      <c r="A644" s="2">
        <v>45712</v>
      </c>
      <c r="B644" s="3" t="s">
        <v>53</v>
      </c>
      <c r="C644" s="3" t="s">
        <v>39</v>
      </c>
      <c r="D644" s="3" t="s">
        <v>28</v>
      </c>
      <c r="E644" s="3" t="s">
        <v>31</v>
      </c>
      <c r="F644" s="3" t="s">
        <v>29</v>
      </c>
      <c r="G644" s="3" t="s">
        <v>21</v>
      </c>
      <c r="H644" s="3">
        <v>24045</v>
      </c>
      <c r="I644" s="3">
        <v>200</v>
      </c>
      <c r="J644" s="3">
        <v>6</v>
      </c>
      <c r="K644" s="12">
        <v>252.8</v>
      </c>
      <c r="L644" s="9">
        <v>334.95</v>
      </c>
      <c r="M644" s="16">
        <f t="shared" si="50"/>
        <v>8.3177375753794962E-3</v>
      </c>
      <c r="N644" s="18">
        <f t="shared" si="51"/>
        <v>0.03</v>
      </c>
      <c r="O644" s="8">
        <f t="shared" si="52"/>
        <v>42.133333333333333</v>
      </c>
      <c r="P644" s="14">
        <f t="shared" si="53"/>
        <v>82.149999999999977</v>
      </c>
      <c r="Q644" s="16">
        <f t="shared" si="54"/>
        <v>0.32496044303797456</v>
      </c>
    </row>
    <row r="645" spans="1:17" x14ac:dyDescent="0.2">
      <c r="A645" s="2">
        <v>45712</v>
      </c>
      <c r="B645" s="3" t="s">
        <v>434</v>
      </c>
      <c r="C645" s="3" t="s">
        <v>39</v>
      </c>
      <c r="D645" s="3" t="s">
        <v>28</v>
      </c>
      <c r="E645" s="3" t="s">
        <v>20</v>
      </c>
      <c r="F645" s="3" t="s">
        <v>50</v>
      </c>
      <c r="G645" s="3" t="s">
        <v>21</v>
      </c>
      <c r="H645" s="3">
        <v>17975</v>
      </c>
      <c r="I645" s="3">
        <v>309</v>
      </c>
      <c r="J645" s="3">
        <v>6</v>
      </c>
      <c r="K645" s="12">
        <v>300.04000000000002</v>
      </c>
      <c r="L645" s="9">
        <v>263.33</v>
      </c>
      <c r="M645" s="16">
        <f t="shared" si="50"/>
        <v>1.7190542420027818E-2</v>
      </c>
      <c r="N645" s="18">
        <f t="shared" si="51"/>
        <v>1.9417475728155338E-2</v>
      </c>
      <c r="O645" s="8">
        <f t="shared" si="52"/>
        <v>50.006666666666668</v>
      </c>
      <c r="P645" s="14">
        <f t="shared" si="53"/>
        <v>-36.710000000000036</v>
      </c>
      <c r="Q645" s="16">
        <f t="shared" si="54"/>
        <v>-0.12235035328622862</v>
      </c>
    </row>
    <row r="646" spans="1:17" x14ac:dyDescent="0.2">
      <c r="A646" s="2">
        <v>45713</v>
      </c>
      <c r="B646" s="3" t="s">
        <v>315</v>
      </c>
      <c r="C646" s="3" t="s">
        <v>156</v>
      </c>
      <c r="D646" s="3" t="s">
        <v>46</v>
      </c>
      <c r="E646" s="3" t="s">
        <v>20</v>
      </c>
      <c r="F646" s="3" t="s">
        <v>50</v>
      </c>
      <c r="G646" s="3" t="s">
        <v>17</v>
      </c>
      <c r="H646" s="3">
        <v>15241</v>
      </c>
      <c r="I646" s="3">
        <v>413</v>
      </c>
      <c r="J646" s="3">
        <v>5</v>
      </c>
      <c r="K646" s="12">
        <v>618.99</v>
      </c>
      <c r="L646" s="9">
        <v>294.17</v>
      </c>
      <c r="M646" s="16">
        <f t="shared" si="50"/>
        <v>2.7097959451479563E-2</v>
      </c>
      <c r="N646" s="18">
        <f t="shared" si="51"/>
        <v>1.2106537530266344E-2</v>
      </c>
      <c r="O646" s="8">
        <f t="shared" si="52"/>
        <v>123.798</v>
      </c>
      <c r="P646" s="14">
        <f t="shared" si="53"/>
        <v>-324.82</v>
      </c>
      <c r="Q646" s="16">
        <f t="shared" si="54"/>
        <v>-0.52475807363608462</v>
      </c>
    </row>
    <row r="647" spans="1:17" x14ac:dyDescent="0.2">
      <c r="A647" s="2">
        <v>45713</v>
      </c>
      <c r="B647" s="3" t="s">
        <v>858</v>
      </c>
      <c r="C647" s="3" t="s">
        <v>41</v>
      </c>
      <c r="D647" s="3" t="s">
        <v>24</v>
      </c>
      <c r="E647" s="3" t="s">
        <v>31</v>
      </c>
      <c r="F647" s="3" t="s">
        <v>29</v>
      </c>
      <c r="G647" s="3" t="s">
        <v>17</v>
      </c>
      <c r="H647" s="3">
        <v>3485</v>
      </c>
      <c r="I647" s="3">
        <v>528</v>
      </c>
      <c r="J647" s="3">
        <v>83</v>
      </c>
      <c r="K647" s="12">
        <v>193.86</v>
      </c>
      <c r="L647" s="9">
        <v>9485.25</v>
      </c>
      <c r="M647" s="16">
        <f t="shared" si="50"/>
        <v>0.15150645624103301</v>
      </c>
      <c r="N647" s="18">
        <f t="shared" si="51"/>
        <v>0.1571969696969697</v>
      </c>
      <c r="O647" s="8">
        <f t="shared" si="52"/>
        <v>2.3356626506024099</v>
      </c>
      <c r="P647" s="14">
        <f t="shared" si="53"/>
        <v>9291.39</v>
      </c>
      <c r="Q647" s="16">
        <f t="shared" si="54"/>
        <v>47.928350355926952</v>
      </c>
    </row>
    <row r="648" spans="1:17" x14ac:dyDescent="0.2">
      <c r="A648" s="2">
        <v>45713</v>
      </c>
      <c r="B648" s="3" t="s">
        <v>859</v>
      </c>
      <c r="C648" s="3" t="s">
        <v>58</v>
      </c>
      <c r="D648" s="3" t="s">
        <v>37</v>
      </c>
      <c r="E648" s="3" t="s">
        <v>31</v>
      </c>
      <c r="F648" s="3" t="s">
        <v>34</v>
      </c>
      <c r="G648" s="3" t="s">
        <v>17</v>
      </c>
      <c r="H648" s="3">
        <v>4659</v>
      </c>
      <c r="I648" s="3">
        <v>135</v>
      </c>
      <c r="J648" s="3">
        <v>2</v>
      </c>
      <c r="K648" s="12">
        <v>772.86</v>
      </c>
      <c r="L648" s="9">
        <v>312.20999999999998</v>
      </c>
      <c r="M648" s="16">
        <f t="shared" si="50"/>
        <v>2.8976175144880875E-2</v>
      </c>
      <c r="N648" s="18">
        <f t="shared" si="51"/>
        <v>1.4814814814814815E-2</v>
      </c>
      <c r="O648" s="8">
        <f t="shared" si="52"/>
        <v>386.43</v>
      </c>
      <c r="P648" s="14">
        <f t="shared" si="53"/>
        <v>-460.65000000000003</v>
      </c>
      <c r="Q648" s="16">
        <f t="shared" si="54"/>
        <v>-0.59603291669901404</v>
      </c>
    </row>
    <row r="649" spans="1:17" x14ac:dyDescent="0.2">
      <c r="A649" s="2">
        <v>45713</v>
      </c>
      <c r="B649" s="3" t="s">
        <v>860</v>
      </c>
      <c r="C649" s="3" t="s">
        <v>45</v>
      </c>
      <c r="D649" s="3" t="s">
        <v>46</v>
      </c>
      <c r="E649" s="3" t="s">
        <v>20</v>
      </c>
      <c r="F649" s="3" t="s">
        <v>50</v>
      </c>
      <c r="G649" s="3" t="s">
        <v>17</v>
      </c>
      <c r="H649" s="3">
        <v>10080</v>
      </c>
      <c r="I649" s="3">
        <v>415</v>
      </c>
      <c r="J649" s="3">
        <v>8</v>
      </c>
      <c r="K649" s="12">
        <v>528.6</v>
      </c>
      <c r="L649" s="9">
        <v>454.66</v>
      </c>
      <c r="M649" s="16">
        <f t="shared" si="50"/>
        <v>4.117063492063492E-2</v>
      </c>
      <c r="N649" s="18">
        <f t="shared" si="51"/>
        <v>1.9277108433734941E-2</v>
      </c>
      <c r="O649" s="8">
        <f t="shared" si="52"/>
        <v>66.075000000000003</v>
      </c>
      <c r="P649" s="14">
        <f t="shared" si="53"/>
        <v>-73.94</v>
      </c>
      <c r="Q649" s="16">
        <f t="shared" si="54"/>
        <v>-0.13987892546348846</v>
      </c>
    </row>
    <row r="650" spans="1:17" x14ac:dyDescent="0.2">
      <c r="A650" s="2">
        <v>45713</v>
      </c>
      <c r="B650" s="3" t="s">
        <v>365</v>
      </c>
      <c r="C650" s="3" t="s">
        <v>74</v>
      </c>
      <c r="D650" s="3" t="s">
        <v>28</v>
      </c>
      <c r="E650" s="3" t="s">
        <v>31</v>
      </c>
      <c r="F650" s="3" t="s">
        <v>29</v>
      </c>
      <c r="G650" s="3" t="s">
        <v>21</v>
      </c>
      <c r="H650" s="3">
        <v>16079</v>
      </c>
      <c r="I650" s="3">
        <v>226</v>
      </c>
      <c r="J650" s="3">
        <v>6</v>
      </c>
      <c r="K650" s="12">
        <v>250.31</v>
      </c>
      <c r="L650" s="9">
        <v>393.21</v>
      </c>
      <c r="M650" s="16">
        <f t="shared" si="50"/>
        <v>1.4055600472666211E-2</v>
      </c>
      <c r="N650" s="18">
        <f t="shared" si="51"/>
        <v>2.6548672566371681E-2</v>
      </c>
      <c r="O650" s="8">
        <f t="shared" si="52"/>
        <v>41.718333333333334</v>
      </c>
      <c r="P650" s="14">
        <f t="shared" si="53"/>
        <v>142.89999999999998</v>
      </c>
      <c r="Q650" s="16">
        <f t="shared" si="54"/>
        <v>0.57089209380368333</v>
      </c>
    </row>
    <row r="651" spans="1:17" x14ac:dyDescent="0.2">
      <c r="A651" s="2">
        <v>45713</v>
      </c>
      <c r="B651" s="3" t="s">
        <v>861</v>
      </c>
      <c r="C651" s="3" t="s">
        <v>41</v>
      </c>
      <c r="D651" s="3" t="s">
        <v>24</v>
      </c>
      <c r="E651" s="3" t="s">
        <v>15</v>
      </c>
      <c r="F651" s="3" t="s">
        <v>47</v>
      </c>
      <c r="G651" s="3" t="s">
        <v>21</v>
      </c>
      <c r="H651" s="3">
        <v>4743</v>
      </c>
      <c r="I651" s="3">
        <v>533</v>
      </c>
      <c r="J651" s="3">
        <v>42</v>
      </c>
      <c r="K651" s="12">
        <v>121.11</v>
      </c>
      <c r="L651" s="9">
        <v>4615.2299999999996</v>
      </c>
      <c r="M651" s="16">
        <f t="shared" si="50"/>
        <v>0.11237613324899852</v>
      </c>
      <c r="N651" s="18">
        <f t="shared" si="51"/>
        <v>7.879924953095685E-2</v>
      </c>
      <c r="O651" s="8">
        <f t="shared" si="52"/>
        <v>2.8835714285714285</v>
      </c>
      <c r="P651" s="14">
        <f t="shared" si="53"/>
        <v>4494.12</v>
      </c>
      <c r="Q651" s="16">
        <f t="shared" si="54"/>
        <v>37.107753282140202</v>
      </c>
    </row>
    <row r="652" spans="1:17" x14ac:dyDescent="0.2">
      <c r="A652" s="2">
        <v>45713</v>
      </c>
      <c r="B652" s="3" t="s">
        <v>862</v>
      </c>
      <c r="C652" s="3" t="s">
        <v>110</v>
      </c>
      <c r="D652" s="3" t="s">
        <v>24</v>
      </c>
      <c r="E652" s="3" t="s">
        <v>15</v>
      </c>
      <c r="F652" s="3" t="s">
        <v>29</v>
      </c>
      <c r="G652" s="3" t="s">
        <v>17</v>
      </c>
      <c r="H652" s="3">
        <v>3466</v>
      </c>
      <c r="I652" s="3">
        <v>480</v>
      </c>
      <c r="J652" s="3">
        <v>37</v>
      </c>
      <c r="K652" s="12">
        <v>179.65</v>
      </c>
      <c r="L652" s="9">
        <v>3877.69</v>
      </c>
      <c r="M652" s="16">
        <f t="shared" si="50"/>
        <v>0.13848817080207732</v>
      </c>
      <c r="N652" s="18">
        <f t="shared" si="51"/>
        <v>7.7083333333333337E-2</v>
      </c>
      <c r="O652" s="8">
        <f t="shared" si="52"/>
        <v>4.8554054054054054</v>
      </c>
      <c r="P652" s="14">
        <f t="shared" si="53"/>
        <v>3698.04</v>
      </c>
      <c r="Q652" s="16">
        <f t="shared" si="54"/>
        <v>20.584692457556358</v>
      </c>
    </row>
    <row r="653" spans="1:17" x14ac:dyDescent="0.2">
      <c r="A653" s="2">
        <v>45713</v>
      </c>
      <c r="B653" s="3" t="s">
        <v>863</v>
      </c>
      <c r="C653" s="3" t="s">
        <v>74</v>
      </c>
      <c r="D653" s="3" t="s">
        <v>28</v>
      </c>
      <c r="E653" s="3" t="s">
        <v>20</v>
      </c>
      <c r="F653" s="3" t="s">
        <v>50</v>
      </c>
      <c r="G653" s="3" t="s">
        <v>17</v>
      </c>
      <c r="H653" s="3">
        <v>34779</v>
      </c>
      <c r="I653" s="3">
        <v>828</v>
      </c>
      <c r="J653" s="3">
        <v>9</v>
      </c>
      <c r="K653" s="12">
        <v>1264.46</v>
      </c>
      <c r="L653" s="9">
        <v>508.94</v>
      </c>
      <c r="M653" s="16">
        <f t="shared" si="50"/>
        <v>2.3807470025015095E-2</v>
      </c>
      <c r="N653" s="18">
        <f t="shared" si="51"/>
        <v>1.0869565217391304E-2</v>
      </c>
      <c r="O653" s="8">
        <f t="shared" si="52"/>
        <v>140.49555555555557</v>
      </c>
      <c r="P653" s="14">
        <f t="shared" si="53"/>
        <v>-755.52</v>
      </c>
      <c r="Q653" s="16">
        <f t="shared" si="54"/>
        <v>-0.59750407288486784</v>
      </c>
    </row>
    <row r="654" spans="1:17" x14ac:dyDescent="0.2">
      <c r="A654" s="2">
        <v>45713</v>
      </c>
      <c r="B654" s="3" t="s">
        <v>864</v>
      </c>
      <c r="C654" s="3" t="s">
        <v>43</v>
      </c>
      <c r="D654" s="3" t="s">
        <v>37</v>
      </c>
      <c r="E654" s="3" t="s">
        <v>31</v>
      </c>
      <c r="F654" s="3" t="s">
        <v>50</v>
      </c>
      <c r="G654" s="3" t="s">
        <v>17</v>
      </c>
      <c r="H654" s="3">
        <v>4380</v>
      </c>
      <c r="I654" s="3">
        <v>204</v>
      </c>
      <c r="J654" s="3">
        <v>5</v>
      </c>
      <c r="K654" s="12">
        <v>1245.42</v>
      </c>
      <c r="L654" s="9">
        <v>884.94</v>
      </c>
      <c r="M654" s="16">
        <f t="shared" si="50"/>
        <v>4.6575342465753428E-2</v>
      </c>
      <c r="N654" s="18">
        <f t="shared" si="51"/>
        <v>2.4509803921568627E-2</v>
      </c>
      <c r="O654" s="8">
        <f t="shared" si="52"/>
        <v>249.084</v>
      </c>
      <c r="P654" s="14">
        <f t="shared" si="53"/>
        <v>-360.48</v>
      </c>
      <c r="Q654" s="16">
        <f t="shared" si="54"/>
        <v>-0.28944452473864241</v>
      </c>
    </row>
    <row r="655" spans="1:17" x14ac:dyDescent="0.2">
      <c r="A655" s="2">
        <v>45713</v>
      </c>
      <c r="B655" s="3" t="s">
        <v>865</v>
      </c>
      <c r="C655" s="3" t="s">
        <v>27</v>
      </c>
      <c r="D655" s="3" t="s">
        <v>28</v>
      </c>
      <c r="E655" s="3" t="s">
        <v>20</v>
      </c>
      <c r="F655" s="3" t="s">
        <v>29</v>
      </c>
      <c r="G655" s="3" t="s">
        <v>17</v>
      </c>
      <c r="H655" s="3">
        <v>16221</v>
      </c>
      <c r="I655" s="3">
        <v>361</v>
      </c>
      <c r="J655" s="3">
        <v>6</v>
      </c>
      <c r="K655" s="12">
        <v>501.94</v>
      </c>
      <c r="L655" s="9">
        <v>438.4</v>
      </c>
      <c r="M655" s="16">
        <f t="shared" si="50"/>
        <v>2.2255101411750199E-2</v>
      </c>
      <c r="N655" s="18">
        <f t="shared" si="51"/>
        <v>1.662049861495845E-2</v>
      </c>
      <c r="O655" s="8">
        <f t="shared" si="52"/>
        <v>83.656666666666666</v>
      </c>
      <c r="P655" s="14">
        <f t="shared" si="53"/>
        <v>-63.54000000000002</v>
      </c>
      <c r="Q655" s="16">
        <f t="shared" si="54"/>
        <v>-0.12658883531896248</v>
      </c>
    </row>
    <row r="656" spans="1:17" x14ac:dyDescent="0.2">
      <c r="A656" s="2">
        <v>45713</v>
      </c>
      <c r="B656" s="3" t="s">
        <v>866</v>
      </c>
      <c r="C656" s="3" t="s">
        <v>156</v>
      </c>
      <c r="D656" s="3" t="s">
        <v>46</v>
      </c>
      <c r="E656" s="3" t="s">
        <v>20</v>
      </c>
      <c r="F656" s="3" t="s">
        <v>29</v>
      </c>
      <c r="G656" s="3" t="s">
        <v>25</v>
      </c>
      <c r="H656" s="3">
        <v>8279</v>
      </c>
      <c r="I656" s="3">
        <v>209</v>
      </c>
      <c r="J656" s="3">
        <v>7</v>
      </c>
      <c r="K656" s="12">
        <v>363.59</v>
      </c>
      <c r="L656" s="9">
        <v>581.77</v>
      </c>
      <c r="M656" s="16">
        <f t="shared" si="50"/>
        <v>2.5244594757820992E-2</v>
      </c>
      <c r="N656" s="18">
        <f t="shared" si="51"/>
        <v>3.3492822966507178E-2</v>
      </c>
      <c r="O656" s="8">
        <f t="shared" si="52"/>
        <v>51.941428571428567</v>
      </c>
      <c r="P656" s="14">
        <f t="shared" si="53"/>
        <v>218.18</v>
      </c>
      <c r="Q656" s="16">
        <f t="shared" si="54"/>
        <v>0.60007150911741258</v>
      </c>
    </row>
    <row r="657" spans="1:17" x14ac:dyDescent="0.2">
      <c r="A657" s="2">
        <v>45713</v>
      </c>
      <c r="B657" s="3" t="s">
        <v>867</v>
      </c>
      <c r="C657" s="3" t="s">
        <v>27</v>
      </c>
      <c r="D657" s="3" t="s">
        <v>28</v>
      </c>
      <c r="E657" s="3" t="s">
        <v>20</v>
      </c>
      <c r="F657" s="3" t="s">
        <v>16</v>
      </c>
      <c r="G657" s="3" t="s">
        <v>17</v>
      </c>
      <c r="H657" s="3">
        <v>32273</v>
      </c>
      <c r="I657" s="3">
        <v>554</v>
      </c>
      <c r="J657" s="3">
        <v>6</v>
      </c>
      <c r="K657" s="12">
        <v>436.34</v>
      </c>
      <c r="L657" s="9">
        <v>245.4</v>
      </c>
      <c r="M657" s="16">
        <f t="shared" si="50"/>
        <v>1.7166052117869427E-2</v>
      </c>
      <c r="N657" s="18">
        <f t="shared" si="51"/>
        <v>1.0830324909747292E-2</v>
      </c>
      <c r="O657" s="8">
        <f t="shared" si="52"/>
        <v>72.723333333333329</v>
      </c>
      <c r="P657" s="14">
        <f t="shared" si="53"/>
        <v>-190.93999999999997</v>
      </c>
      <c r="Q657" s="16">
        <f t="shared" si="54"/>
        <v>-0.43759453637072004</v>
      </c>
    </row>
    <row r="658" spans="1:17" x14ac:dyDescent="0.2">
      <c r="A658" s="2">
        <v>45713</v>
      </c>
      <c r="B658" s="3" t="s">
        <v>502</v>
      </c>
      <c r="C658" s="3" t="s">
        <v>49</v>
      </c>
      <c r="D658" s="3" t="s">
        <v>46</v>
      </c>
      <c r="E658" s="3" t="s">
        <v>20</v>
      </c>
      <c r="F658" s="3" t="s">
        <v>16</v>
      </c>
      <c r="G658" s="3" t="s">
        <v>17</v>
      </c>
      <c r="H658" s="3">
        <v>16646</v>
      </c>
      <c r="I658" s="3">
        <v>700</v>
      </c>
      <c r="J658" s="3">
        <v>18</v>
      </c>
      <c r="K658" s="12">
        <v>1131.05</v>
      </c>
      <c r="L658" s="9">
        <v>1347.28</v>
      </c>
      <c r="M658" s="16">
        <f t="shared" si="50"/>
        <v>4.2052144659377629E-2</v>
      </c>
      <c r="N658" s="18">
        <f t="shared" si="51"/>
        <v>2.5714285714285714E-2</v>
      </c>
      <c r="O658" s="8">
        <f t="shared" si="52"/>
        <v>62.836111111111109</v>
      </c>
      <c r="P658" s="14">
        <f t="shared" si="53"/>
        <v>216.23000000000002</v>
      </c>
      <c r="Q658" s="16">
        <f t="shared" si="54"/>
        <v>0.19117634056849833</v>
      </c>
    </row>
    <row r="659" spans="1:17" x14ac:dyDescent="0.2">
      <c r="A659" s="2">
        <v>45713</v>
      </c>
      <c r="B659" s="3" t="s">
        <v>868</v>
      </c>
      <c r="C659" s="3" t="s">
        <v>110</v>
      </c>
      <c r="D659" s="3" t="s">
        <v>24</v>
      </c>
      <c r="E659" s="3" t="s">
        <v>15</v>
      </c>
      <c r="F659" s="3" t="s">
        <v>29</v>
      </c>
      <c r="G659" s="3" t="s">
        <v>21</v>
      </c>
      <c r="H659" s="3">
        <v>1610</v>
      </c>
      <c r="I659" s="3">
        <v>154</v>
      </c>
      <c r="J659" s="3">
        <v>18</v>
      </c>
      <c r="K659" s="12">
        <v>63.29</v>
      </c>
      <c r="L659" s="9">
        <v>2224.21</v>
      </c>
      <c r="M659" s="16">
        <f t="shared" si="50"/>
        <v>9.5652173913043481E-2</v>
      </c>
      <c r="N659" s="18">
        <f t="shared" si="51"/>
        <v>0.11688311688311688</v>
      </c>
      <c r="O659" s="8">
        <f t="shared" si="52"/>
        <v>3.516111111111111</v>
      </c>
      <c r="P659" s="14">
        <f t="shared" si="53"/>
        <v>2160.92</v>
      </c>
      <c r="Q659" s="16">
        <f t="shared" si="54"/>
        <v>34.143150576710383</v>
      </c>
    </row>
    <row r="660" spans="1:17" x14ac:dyDescent="0.2">
      <c r="A660" s="2">
        <v>45713</v>
      </c>
      <c r="B660" s="3" t="s">
        <v>869</v>
      </c>
      <c r="C660" s="3" t="s">
        <v>33</v>
      </c>
      <c r="D660" s="3" t="s">
        <v>28</v>
      </c>
      <c r="E660" s="3" t="s">
        <v>20</v>
      </c>
      <c r="F660" s="3" t="s">
        <v>29</v>
      </c>
      <c r="G660" s="3" t="s">
        <v>17</v>
      </c>
      <c r="H660" s="3">
        <v>35694</v>
      </c>
      <c r="I660" s="3">
        <v>1017</v>
      </c>
      <c r="J660" s="3">
        <v>14</v>
      </c>
      <c r="K660" s="12">
        <v>1208.5999999999999</v>
      </c>
      <c r="L660" s="9">
        <v>1044.5</v>
      </c>
      <c r="M660" s="16">
        <f t="shared" si="50"/>
        <v>2.849218356026223E-2</v>
      </c>
      <c r="N660" s="18">
        <f t="shared" si="51"/>
        <v>1.376597836774828E-2</v>
      </c>
      <c r="O660" s="8">
        <f t="shared" si="52"/>
        <v>86.328571428571422</v>
      </c>
      <c r="P660" s="14">
        <f t="shared" si="53"/>
        <v>-164.09999999999991</v>
      </c>
      <c r="Q660" s="16">
        <f t="shared" si="54"/>
        <v>-0.13577693198742341</v>
      </c>
    </row>
    <row r="661" spans="1:17" x14ac:dyDescent="0.2">
      <c r="A661" s="2">
        <v>45714</v>
      </c>
      <c r="B661" s="3" t="s">
        <v>479</v>
      </c>
      <c r="C661" s="3" t="s">
        <v>33</v>
      </c>
      <c r="D661" s="3" t="s">
        <v>28</v>
      </c>
      <c r="E661" s="3" t="s">
        <v>20</v>
      </c>
      <c r="F661" s="3" t="s">
        <v>47</v>
      </c>
      <c r="G661" s="3" t="s">
        <v>21</v>
      </c>
      <c r="H661" s="3">
        <v>32223</v>
      </c>
      <c r="I661" s="3">
        <v>841</v>
      </c>
      <c r="J661" s="3">
        <v>13</v>
      </c>
      <c r="K661" s="12">
        <v>726.01</v>
      </c>
      <c r="L661" s="9">
        <v>939.87</v>
      </c>
      <c r="M661" s="16">
        <f t="shared" si="50"/>
        <v>2.6099370015206531E-2</v>
      </c>
      <c r="N661" s="18">
        <f t="shared" si="51"/>
        <v>1.5457788347205707E-2</v>
      </c>
      <c r="O661" s="8">
        <f t="shared" si="52"/>
        <v>55.846923076923076</v>
      </c>
      <c r="P661" s="14">
        <f t="shared" si="53"/>
        <v>213.86</v>
      </c>
      <c r="Q661" s="16">
        <f t="shared" si="54"/>
        <v>0.29456894533133154</v>
      </c>
    </row>
    <row r="662" spans="1:17" x14ac:dyDescent="0.2">
      <c r="A662" s="2">
        <v>45714</v>
      </c>
      <c r="B662" s="3" t="s">
        <v>85</v>
      </c>
      <c r="C662" s="3" t="s">
        <v>39</v>
      </c>
      <c r="D662" s="3" t="s">
        <v>28</v>
      </c>
      <c r="E662" s="3" t="s">
        <v>20</v>
      </c>
      <c r="F662" s="3" t="s">
        <v>47</v>
      </c>
      <c r="G662" s="3" t="s">
        <v>17</v>
      </c>
      <c r="H662" s="3">
        <v>31062</v>
      </c>
      <c r="I662" s="3">
        <v>880</v>
      </c>
      <c r="J662" s="3">
        <v>10</v>
      </c>
      <c r="K662" s="12">
        <v>1281.56</v>
      </c>
      <c r="L662" s="9">
        <v>585.12</v>
      </c>
      <c r="M662" s="16">
        <f t="shared" si="50"/>
        <v>2.8330435902388772E-2</v>
      </c>
      <c r="N662" s="18">
        <f t="shared" si="51"/>
        <v>1.1363636363636364E-2</v>
      </c>
      <c r="O662" s="8">
        <f t="shared" si="52"/>
        <v>128.15600000000001</v>
      </c>
      <c r="P662" s="14">
        <f t="shared" si="53"/>
        <v>-696.43999999999994</v>
      </c>
      <c r="Q662" s="16">
        <f t="shared" si="54"/>
        <v>-0.54343144292893031</v>
      </c>
    </row>
    <row r="663" spans="1:17" x14ac:dyDescent="0.2">
      <c r="A663" s="2">
        <v>45714</v>
      </c>
      <c r="B663" s="3" t="s">
        <v>267</v>
      </c>
      <c r="C663" s="3" t="s">
        <v>23</v>
      </c>
      <c r="D663" s="3" t="s">
        <v>24</v>
      </c>
      <c r="E663" s="3" t="s">
        <v>20</v>
      </c>
      <c r="F663" s="3" t="s">
        <v>50</v>
      </c>
      <c r="G663" s="3" t="s">
        <v>17</v>
      </c>
      <c r="H663" s="3">
        <v>4798</v>
      </c>
      <c r="I663" s="3">
        <v>562</v>
      </c>
      <c r="J663" s="3">
        <v>67</v>
      </c>
      <c r="K663" s="12">
        <v>150.5</v>
      </c>
      <c r="L663" s="9">
        <v>9168.2199999999993</v>
      </c>
      <c r="M663" s="16">
        <f t="shared" si="50"/>
        <v>0.11713213839099625</v>
      </c>
      <c r="N663" s="18">
        <f t="shared" si="51"/>
        <v>0.11921708185053381</v>
      </c>
      <c r="O663" s="8">
        <f t="shared" si="52"/>
        <v>2.2462686567164178</v>
      </c>
      <c r="P663" s="14">
        <f t="shared" si="53"/>
        <v>9017.7199999999993</v>
      </c>
      <c r="Q663" s="16">
        <f t="shared" si="54"/>
        <v>59.918405315614613</v>
      </c>
    </row>
    <row r="664" spans="1:17" x14ac:dyDescent="0.2">
      <c r="A664" s="2">
        <v>45714</v>
      </c>
      <c r="B664" s="3" t="s">
        <v>870</v>
      </c>
      <c r="C664" s="3" t="s">
        <v>13</v>
      </c>
      <c r="D664" s="3" t="s">
        <v>14</v>
      </c>
      <c r="E664" s="3" t="s">
        <v>20</v>
      </c>
      <c r="F664" s="3" t="s">
        <v>16</v>
      </c>
      <c r="G664" s="3" t="s">
        <v>21</v>
      </c>
      <c r="H664" s="3">
        <v>14444</v>
      </c>
      <c r="I664" s="3">
        <v>777</v>
      </c>
      <c r="J664" s="3">
        <v>32</v>
      </c>
      <c r="K664" s="12">
        <v>2087.6</v>
      </c>
      <c r="L664" s="9">
        <v>2229.6999999999998</v>
      </c>
      <c r="M664" s="16">
        <f t="shared" si="50"/>
        <v>5.3793962891165885E-2</v>
      </c>
      <c r="N664" s="18">
        <f t="shared" si="51"/>
        <v>4.1184041184041183E-2</v>
      </c>
      <c r="O664" s="8">
        <f t="shared" si="52"/>
        <v>65.237499999999997</v>
      </c>
      <c r="P664" s="14">
        <f t="shared" si="53"/>
        <v>142.09999999999991</v>
      </c>
      <c r="Q664" s="16">
        <f t="shared" si="54"/>
        <v>6.8068595516382405E-2</v>
      </c>
    </row>
    <row r="665" spans="1:17" x14ac:dyDescent="0.2">
      <c r="A665" s="2">
        <v>45714</v>
      </c>
      <c r="B665" s="3" t="s">
        <v>266</v>
      </c>
      <c r="C665" s="3" t="s">
        <v>27</v>
      </c>
      <c r="D665" s="3" t="s">
        <v>28</v>
      </c>
      <c r="E665" s="3" t="s">
        <v>31</v>
      </c>
      <c r="F665" s="3" t="s">
        <v>16</v>
      </c>
      <c r="G665" s="3" t="s">
        <v>21</v>
      </c>
      <c r="H665" s="3">
        <v>38471</v>
      </c>
      <c r="I665" s="3">
        <v>586</v>
      </c>
      <c r="J665" s="3">
        <v>12</v>
      </c>
      <c r="K665" s="12">
        <v>504.96</v>
      </c>
      <c r="L665" s="9">
        <v>559.86</v>
      </c>
      <c r="M665" s="16">
        <f t="shared" si="50"/>
        <v>1.5232252865795014E-2</v>
      </c>
      <c r="N665" s="18">
        <f t="shared" si="51"/>
        <v>2.0477815699658702E-2</v>
      </c>
      <c r="O665" s="8">
        <f t="shared" si="52"/>
        <v>42.08</v>
      </c>
      <c r="P665" s="14">
        <f t="shared" si="53"/>
        <v>54.900000000000034</v>
      </c>
      <c r="Q665" s="16">
        <f t="shared" si="54"/>
        <v>0.10872148288973391</v>
      </c>
    </row>
    <row r="666" spans="1:17" x14ac:dyDescent="0.2">
      <c r="A666" s="2">
        <v>45714</v>
      </c>
      <c r="B666" s="3" t="s">
        <v>198</v>
      </c>
      <c r="C666" s="3" t="s">
        <v>33</v>
      </c>
      <c r="D666" s="3" t="s">
        <v>28</v>
      </c>
      <c r="E666" s="3" t="s">
        <v>31</v>
      </c>
      <c r="F666" s="3" t="s">
        <v>16</v>
      </c>
      <c r="G666" s="3" t="s">
        <v>17</v>
      </c>
      <c r="H666" s="3">
        <v>26411</v>
      </c>
      <c r="I666" s="3">
        <v>494</v>
      </c>
      <c r="J666" s="3">
        <v>7</v>
      </c>
      <c r="K666" s="12">
        <v>550</v>
      </c>
      <c r="L666" s="9">
        <v>414.53</v>
      </c>
      <c r="M666" s="16">
        <f t="shared" si="50"/>
        <v>1.8704327742228615E-2</v>
      </c>
      <c r="N666" s="18">
        <f t="shared" si="51"/>
        <v>1.417004048582996E-2</v>
      </c>
      <c r="O666" s="8">
        <f t="shared" si="52"/>
        <v>78.571428571428569</v>
      </c>
      <c r="P666" s="14">
        <f t="shared" si="53"/>
        <v>-135.47000000000003</v>
      </c>
      <c r="Q666" s="16">
        <f t="shared" si="54"/>
        <v>-0.24630909090909095</v>
      </c>
    </row>
    <row r="667" spans="1:17" x14ac:dyDescent="0.2">
      <c r="A667" s="2">
        <v>45714</v>
      </c>
      <c r="B667" s="3" t="s">
        <v>871</v>
      </c>
      <c r="C667" s="3" t="s">
        <v>58</v>
      </c>
      <c r="D667" s="3" t="s">
        <v>37</v>
      </c>
      <c r="E667" s="3" t="s">
        <v>15</v>
      </c>
      <c r="F667" s="3" t="s">
        <v>50</v>
      </c>
      <c r="G667" s="3" t="s">
        <v>21</v>
      </c>
      <c r="H667" s="3">
        <v>2553</v>
      </c>
      <c r="I667" s="3">
        <v>55</v>
      </c>
      <c r="J667" s="3">
        <v>1</v>
      </c>
      <c r="K667" s="12">
        <v>418.86</v>
      </c>
      <c r="L667" s="9">
        <v>113.85</v>
      </c>
      <c r="M667" s="16">
        <f t="shared" si="50"/>
        <v>2.1543282412847631E-2</v>
      </c>
      <c r="N667" s="18">
        <f t="shared" si="51"/>
        <v>1.8181818181818181E-2</v>
      </c>
      <c r="O667" s="8">
        <f t="shared" si="52"/>
        <v>418.86</v>
      </c>
      <c r="P667" s="14">
        <f t="shared" si="53"/>
        <v>-305.01</v>
      </c>
      <c r="Q667" s="16">
        <f t="shared" si="54"/>
        <v>-0.72819080360979793</v>
      </c>
    </row>
    <row r="668" spans="1:17" x14ac:dyDescent="0.2">
      <c r="A668" s="2">
        <v>45714</v>
      </c>
      <c r="B668" s="3" t="s">
        <v>872</v>
      </c>
      <c r="C668" s="3" t="s">
        <v>27</v>
      </c>
      <c r="D668" s="3" t="s">
        <v>28</v>
      </c>
      <c r="E668" s="3" t="s">
        <v>31</v>
      </c>
      <c r="F668" s="3" t="s">
        <v>29</v>
      </c>
      <c r="G668" s="3" t="s">
        <v>17</v>
      </c>
      <c r="H668" s="3">
        <v>17306</v>
      </c>
      <c r="I668" s="3">
        <v>443</v>
      </c>
      <c r="J668" s="3">
        <v>6</v>
      </c>
      <c r="K668" s="12">
        <v>361.71</v>
      </c>
      <c r="L668" s="9">
        <v>258.24</v>
      </c>
      <c r="M668" s="16">
        <f t="shared" si="50"/>
        <v>2.5598058476828847E-2</v>
      </c>
      <c r="N668" s="18">
        <f t="shared" si="51"/>
        <v>1.3544018058690745E-2</v>
      </c>
      <c r="O668" s="8">
        <f t="shared" si="52"/>
        <v>60.284999999999997</v>
      </c>
      <c r="P668" s="14">
        <f t="shared" si="53"/>
        <v>-103.46999999999997</v>
      </c>
      <c r="Q668" s="16">
        <f t="shared" si="54"/>
        <v>-0.28605789168118101</v>
      </c>
    </row>
    <row r="669" spans="1:17" x14ac:dyDescent="0.2">
      <c r="A669" s="2">
        <v>45714</v>
      </c>
      <c r="B669" s="3" t="s">
        <v>542</v>
      </c>
      <c r="C669" s="3" t="s">
        <v>43</v>
      </c>
      <c r="D669" s="3" t="s">
        <v>37</v>
      </c>
      <c r="E669" s="3" t="s">
        <v>31</v>
      </c>
      <c r="F669" s="3" t="s">
        <v>50</v>
      </c>
      <c r="G669" s="3" t="s">
        <v>17</v>
      </c>
      <c r="H669" s="3">
        <v>5960</v>
      </c>
      <c r="I669" s="3">
        <v>259</v>
      </c>
      <c r="J669" s="3">
        <v>7</v>
      </c>
      <c r="K669" s="12">
        <v>1526.93</v>
      </c>
      <c r="L669" s="9">
        <v>1090.9000000000001</v>
      </c>
      <c r="M669" s="16">
        <f t="shared" si="50"/>
        <v>4.3456375838926177E-2</v>
      </c>
      <c r="N669" s="18">
        <f t="shared" si="51"/>
        <v>2.7027027027027029E-2</v>
      </c>
      <c r="O669" s="8">
        <f t="shared" si="52"/>
        <v>218.13285714285715</v>
      </c>
      <c r="P669" s="14">
        <f t="shared" si="53"/>
        <v>-436.03</v>
      </c>
      <c r="Q669" s="16">
        <f t="shared" si="54"/>
        <v>-0.28555991433791983</v>
      </c>
    </row>
    <row r="670" spans="1:17" x14ac:dyDescent="0.2">
      <c r="A670" s="2">
        <v>45715</v>
      </c>
      <c r="B670" s="3" t="s">
        <v>873</v>
      </c>
      <c r="C670" s="3" t="s">
        <v>97</v>
      </c>
      <c r="D670" s="3" t="s">
        <v>46</v>
      </c>
      <c r="E670" s="3" t="s">
        <v>20</v>
      </c>
      <c r="F670" s="3" t="s">
        <v>50</v>
      </c>
      <c r="G670" s="3" t="s">
        <v>17</v>
      </c>
      <c r="H670" s="3">
        <v>14146</v>
      </c>
      <c r="I670" s="3">
        <v>419</v>
      </c>
      <c r="J670" s="3">
        <v>10</v>
      </c>
      <c r="K670" s="12">
        <v>492.67</v>
      </c>
      <c r="L670" s="9">
        <v>811.43</v>
      </c>
      <c r="M670" s="16">
        <f t="shared" si="50"/>
        <v>2.9619680475045949E-2</v>
      </c>
      <c r="N670" s="18">
        <f t="shared" si="51"/>
        <v>2.386634844868735E-2</v>
      </c>
      <c r="O670" s="8">
        <f t="shared" si="52"/>
        <v>49.267000000000003</v>
      </c>
      <c r="P670" s="14">
        <f t="shared" si="53"/>
        <v>318.75999999999993</v>
      </c>
      <c r="Q670" s="16">
        <f t="shared" si="54"/>
        <v>0.64700509468812784</v>
      </c>
    </row>
    <row r="671" spans="1:17" x14ac:dyDescent="0.2">
      <c r="A671" s="2">
        <v>45715</v>
      </c>
      <c r="B671" s="3" t="s">
        <v>874</v>
      </c>
      <c r="C671" s="3" t="s">
        <v>13</v>
      </c>
      <c r="D671" s="3" t="s">
        <v>14</v>
      </c>
      <c r="E671" s="3" t="s">
        <v>15</v>
      </c>
      <c r="F671" s="3" t="s">
        <v>50</v>
      </c>
      <c r="G671" s="3" t="s">
        <v>25</v>
      </c>
      <c r="H671" s="3">
        <v>12317</v>
      </c>
      <c r="I671" s="3">
        <v>576</v>
      </c>
      <c r="J671" s="3">
        <v>15</v>
      </c>
      <c r="K671" s="12">
        <v>1326.75</v>
      </c>
      <c r="L671" s="9">
        <v>893.01</v>
      </c>
      <c r="M671" s="16">
        <f t="shared" si="50"/>
        <v>4.6764634245351953E-2</v>
      </c>
      <c r="N671" s="18">
        <f t="shared" si="51"/>
        <v>2.6041666666666668E-2</v>
      </c>
      <c r="O671" s="8">
        <f t="shared" si="52"/>
        <v>88.45</v>
      </c>
      <c r="P671" s="14">
        <f t="shared" si="53"/>
        <v>-433.74</v>
      </c>
      <c r="Q671" s="16">
        <f t="shared" si="54"/>
        <v>-0.32691916336913512</v>
      </c>
    </row>
    <row r="672" spans="1:17" x14ac:dyDescent="0.2">
      <c r="A672" s="2">
        <v>45715</v>
      </c>
      <c r="B672" s="3" t="s">
        <v>148</v>
      </c>
      <c r="C672" s="3" t="s">
        <v>39</v>
      </c>
      <c r="D672" s="3" t="s">
        <v>28</v>
      </c>
      <c r="E672" s="3" t="s">
        <v>20</v>
      </c>
      <c r="F672" s="3" t="s">
        <v>34</v>
      </c>
      <c r="G672" s="3" t="s">
        <v>17</v>
      </c>
      <c r="H672" s="3">
        <v>24612</v>
      </c>
      <c r="I672" s="3">
        <v>237</v>
      </c>
      <c r="J672" s="3">
        <v>2</v>
      </c>
      <c r="K672" s="12">
        <v>242.24</v>
      </c>
      <c r="L672" s="9">
        <v>113.33</v>
      </c>
      <c r="M672" s="16">
        <f t="shared" si="50"/>
        <v>9.6294490492442718E-3</v>
      </c>
      <c r="N672" s="18">
        <f t="shared" si="51"/>
        <v>8.4388185654008432E-3</v>
      </c>
      <c r="O672" s="8">
        <f t="shared" si="52"/>
        <v>121.12</v>
      </c>
      <c r="P672" s="14">
        <f t="shared" si="53"/>
        <v>-128.91000000000003</v>
      </c>
      <c r="Q672" s="16">
        <f t="shared" si="54"/>
        <v>-0.53215819022457078</v>
      </c>
    </row>
    <row r="673" spans="1:17" x14ac:dyDescent="0.2">
      <c r="A673" s="2">
        <v>45715</v>
      </c>
      <c r="B673" s="3" t="s">
        <v>875</v>
      </c>
      <c r="C673" s="3" t="s">
        <v>41</v>
      </c>
      <c r="D673" s="3" t="s">
        <v>24</v>
      </c>
      <c r="E673" s="3" t="s">
        <v>15</v>
      </c>
      <c r="F673" s="3" t="s">
        <v>47</v>
      </c>
      <c r="G673" s="3" t="s">
        <v>17</v>
      </c>
      <c r="H673" s="3">
        <v>3259</v>
      </c>
      <c r="I673" s="3">
        <v>271</v>
      </c>
      <c r="J673" s="3">
        <v>18</v>
      </c>
      <c r="K673" s="12">
        <v>0</v>
      </c>
      <c r="L673" s="9">
        <v>2149.7199999999998</v>
      </c>
      <c r="M673" s="16">
        <f t="shared" si="50"/>
        <v>8.3154341822644987E-2</v>
      </c>
      <c r="N673" s="18">
        <f t="shared" si="51"/>
        <v>6.6420664206642069E-2</v>
      </c>
      <c r="O673" s="8">
        <f t="shared" si="52"/>
        <v>0</v>
      </c>
      <c r="P673" s="14">
        <f t="shared" si="53"/>
        <v>2149.7199999999998</v>
      </c>
      <c r="Q673" s="16">
        <f t="shared" si="54"/>
        <v>0</v>
      </c>
    </row>
    <row r="674" spans="1:17" x14ac:dyDescent="0.2">
      <c r="A674" s="2">
        <v>45715</v>
      </c>
      <c r="B674" s="3" t="s">
        <v>876</v>
      </c>
      <c r="C674" s="3" t="s">
        <v>19</v>
      </c>
      <c r="D674" s="3" t="s">
        <v>14</v>
      </c>
      <c r="E674" s="3" t="s">
        <v>20</v>
      </c>
      <c r="F674" s="3" t="s">
        <v>29</v>
      </c>
      <c r="G674" s="3" t="s">
        <v>17</v>
      </c>
      <c r="H674" s="3">
        <v>13784</v>
      </c>
      <c r="I674" s="3">
        <v>916</v>
      </c>
      <c r="J674" s="3">
        <v>28</v>
      </c>
      <c r="K674" s="12">
        <v>2590.4499999999998</v>
      </c>
      <c r="L674" s="9">
        <v>1972.03</v>
      </c>
      <c r="M674" s="16">
        <f t="shared" si="50"/>
        <v>6.6453859547301222E-2</v>
      </c>
      <c r="N674" s="18">
        <f t="shared" si="51"/>
        <v>3.0567685589519649E-2</v>
      </c>
      <c r="O674" s="8">
        <f t="shared" si="52"/>
        <v>92.516071428571422</v>
      </c>
      <c r="P674" s="14">
        <f t="shared" si="53"/>
        <v>-618.41999999999985</v>
      </c>
      <c r="Q674" s="16">
        <f t="shared" si="54"/>
        <v>-0.23873072246134838</v>
      </c>
    </row>
    <row r="675" spans="1:17" x14ac:dyDescent="0.2">
      <c r="A675" s="2">
        <v>45715</v>
      </c>
      <c r="B675" s="3" t="s">
        <v>877</v>
      </c>
      <c r="C675" s="3" t="s">
        <v>71</v>
      </c>
      <c r="D675" s="3" t="s">
        <v>37</v>
      </c>
      <c r="E675" s="3" t="s">
        <v>20</v>
      </c>
      <c r="F675" s="3" t="s">
        <v>29</v>
      </c>
      <c r="G675" s="3" t="s">
        <v>17</v>
      </c>
      <c r="H675" s="3">
        <v>5582</v>
      </c>
      <c r="I675" s="3">
        <v>259</v>
      </c>
      <c r="J675" s="3">
        <v>2</v>
      </c>
      <c r="K675" s="12">
        <v>1064.52</v>
      </c>
      <c r="L675" s="9">
        <v>47.99</v>
      </c>
      <c r="M675" s="16">
        <f t="shared" si="50"/>
        <v>4.6399140093156578E-2</v>
      </c>
      <c r="N675" s="18">
        <f t="shared" si="51"/>
        <v>7.7220077220077222E-3</v>
      </c>
      <c r="O675" s="8">
        <f t="shared" si="52"/>
        <v>532.26</v>
      </c>
      <c r="P675" s="14">
        <f t="shared" si="53"/>
        <v>-1016.53</v>
      </c>
      <c r="Q675" s="16">
        <f t="shared" si="54"/>
        <v>-0.95491864878067112</v>
      </c>
    </row>
    <row r="676" spans="1:17" x14ac:dyDescent="0.2">
      <c r="A676" s="2">
        <v>45716</v>
      </c>
      <c r="B676" s="3" t="s">
        <v>878</v>
      </c>
      <c r="C676" s="3" t="s">
        <v>45</v>
      </c>
      <c r="D676" s="3" t="s">
        <v>46</v>
      </c>
      <c r="E676" s="3" t="s">
        <v>15</v>
      </c>
      <c r="F676" s="3" t="s">
        <v>50</v>
      </c>
      <c r="G676" s="3" t="s">
        <v>21</v>
      </c>
      <c r="H676" s="3">
        <v>9249</v>
      </c>
      <c r="I676" s="3">
        <v>148</v>
      </c>
      <c r="J676" s="3">
        <v>3</v>
      </c>
      <c r="K676" s="12">
        <v>270.41000000000003</v>
      </c>
      <c r="L676" s="9">
        <v>232.27</v>
      </c>
      <c r="M676" s="16">
        <f t="shared" si="50"/>
        <v>1.6001729916747757E-2</v>
      </c>
      <c r="N676" s="18">
        <f t="shared" si="51"/>
        <v>2.0270270270270271E-2</v>
      </c>
      <c r="O676" s="8">
        <f t="shared" si="52"/>
        <v>90.13666666666667</v>
      </c>
      <c r="P676" s="14">
        <f t="shared" si="53"/>
        <v>-38.140000000000015</v>
      </c>
      <c r="Q676" s="16">
        <f t="shared" si="54"/>
        <v>-0.14104507969379834</v>
      </c>
    </row>
    <row r="677" spans="1:17" x14ac:dyDescent="0.2">
      <c r="A677" s="2">
        <v>45716</v>
      </c>
      <c r="B677" s="3" t="s">
        <v>516</v>
      </c>
      <c r="C677" s="3" t="s">
        <v>110</v>
      </c>
      <c r="D677" s="3" t="s">
        <v>24</v>
      </c>
      <c r="E677" s="3" t="s">
        <v>20</v>
      </c>
      <c r="F677" s="3" t="s">
        <v>29</v>
      </c>
      <c r="G677" s="3" t="s">
        <v>17</v>
      </c>
      <c r="H677" s="3">
        <v>1113</v>
      </c>
      <c r="I677" s="3">
        <v>168</v>
      </c>
      <c r="J677" s="3">
        <v>12</v>
      </c>
      <c r="K677" s="12">
        <v>67.11</v>
      </c>
      <c r="L677" s="9">
        <v>1504.29</v>
      </c>
      <c r="M677" s="16">
        <f t="shared" si="50"/>
        <v>0.15094339622641509</v>
      </c>
      <c r="N677" s="18">
        <f t="shared" si="51"/>
        <v>7.1428571428571425E-2</v>
      </c>
      <c r="O677" s="8">
        <f t="shared" si="52"/>
        <v>5.5925000000000002</v>
      </c>
      <c r="P677" s="14">
        <f t="shared" si="53"/>
        <v>1437.18</v>
      </c>
      <c r="Q677" s="16">
        <f t="shared" si="54"/>
        <v>21.41528833258829</v>
      </c>
    </row>
    <row r="678" spans="1:17" x14ac:dyDescent="0.2">
      <c r="A678" s="2">
        <v>45716</v>
      </c>
      <c r="B678" s="3" t="s">
        <v>392</v>
      </c>
      <c r="C678" s="3" t="s">
        <v>43</v>
      </c>
      <c r="D678" s="3" t="s">
        <v>37</v>
      </c>
      <c r="E678" s="3" t="s">
        <v>31</v>
      </c>
      <c r="F678" s="3" t="s">
        <v>50</v>
      </c>
      <c r="G678" s="3" t="s">
        <v>17</v>
      </c>
      <c r="H678" s="3">
        <v>4611</v>
      </c>
      <c r="I678" s="3">
        <v>218</v>
      </c>
      <c r="J678" s="3">
        <v>8</v>
      </c>
      <c r="K678" s="12">
        <v>955.63</v>
      </c>
      <c r="L678" s="9">
        <v>1413.73</v>
      </c>
      <c r="M678" s="16">
        <f t="shared" si="50"/>
        <v>4.7278247668618524E-2</v>
      </c>
      <c r="N678" s="18">
        <f t="shared" si="51"/>
        <v>3.669724770642202E-2</v>
      </c>
      <c r="O678" s="8">
        <f t="shared" si="52"/>
        <v>119.45375</v>
      </c>
      <c r="P678" s="14">
        <f t="shared" si="53"/>
        <v>458.1</v>
      </c>
      <c r="Q678" s="16">
        <f t="shared" si="54"/>
        <v>0.47936963050553039</v>
      </c>
    </row>
    <row r="679" spans="1:17" x14ac:dyDescent="0.2">
      <c r="A679" s="2">
        <v>45716</v>
      </c>
      <c r="B679" s="3" t="s">
        <v>98</v>
      </c>
      <c r="C679" s="3" t="s">
        <v>45</v>
      </c>
      <c r="D679" s="3" t="s">
        <v>46</v>
      </c>
      <c r="E679" s="3" t="s">
        <v>20</v>
      </c>
      <c r="F679" s="3" t="s">
        <v>29</v>
      </c>
      <c r="G679" s="3" t="s">
        <v>17</v>
      </c>
      <c r="H679" s="3">
        <v>19840</v>
      </c>
      <c r="I679" s="3">
        <v>814</v>
      </c>
      <c r="J679" s="3">
        <v>19</v>
      </c>
      <c r="K679" s="12">
        <v>1305.93</v>
      </c>
      <c r="L679" s="9">
        <v>1065.83</v>
      </c>
      <c r="M679" s="16">
        <f t="shared" si="50"/>
        <v>4.1028225806451615E-2</v>
      </c>
      <c r="N679" s="18">
        <f t="shared" si="51"/>
        <v>2.334152334152334E-2</v>
      </c>
      <c r="O679" s="8">
        <f t="shared" si="52"/>
        <v>68.733157894736848</v>
      </c>
      <c r="P679" s="14">
        <f t="shared" si="53"/>
        <v>-240.10000000000014</v>
      </c>
      <c r="Q679" s="16">
        <f t="shared" si="54"/>
        <v>-0.18385365218656446</v>
      </c>
    </row>
    <row r="680" spans="1:17" x14ac:dyDescent="0.2">
      <c r="A680" s="2">
        <v>45716</v>
      </c>
      <c r="B680" s="3" t="s">
        <v>167</v>
      </c>
      <c r="C680" s="3" t="s">
        <v>23</v>
      </c>
      <c r="D680" s="3" t="s">
        <v>24</v>
      </c>
      <c r="E680" s="3" t="s">
        <v>31</v>
      </c>
      <c r="F680" s="3" t="s">
        <v>47</v>
      </c>
      <c r="G680" s="3" t="s">
        <v>17</v>
      </c>
      <c r="H680" s="3">
        <v>3925</v>
      </c>
      <c r="I680" s="3">
        <v>670</v>
      </c>
      <c r="J680" s="3">
        <v>84</v>
      </c>
      <c r="K680" s="12">
        <v>320.3</v>
      </c>
      <c r="L680" s="9">
        <v>11983.45</v>
      </c>
      <c r="M680" s="16">
        <f t="shared" si="50"/>
        <v>0.17070063694267515</v>
      </c>
      <c r="N680" s="18">
        <f t="shared" si="51"/>
        <v>0.1253731343283582</v>
      </c>
      <c r="O680" s="8">
        <f t="shared" si="52"/>
        <v>3.8130952380952383</v>
      </c>
      <c r="P680" s="14">
        <f t="shared" si="53"/>
        <v>11663.150000000001</v>
      </c>
      <c r="Q680" s="16">
        <f t="shared" si="54"/>
        <v>36.413206369029041</v>
      </c>
    </row>
    <row r="681" spans="1:17" x14ac:dyDescent="0.2">
      <c r="A681" s="2">
        <v>45716</v>
      </c>
      <c r="B681" s="3" t="s">
        <v>879</v>
      </c>
      <c r="C681" s="3" t="s">
        <v>49</v>
      </c>
      <c r="D681" s="3" t="s">
        <v>46</v>
      </c>
      <c r="E681" s="3" t="s">
        <v>20</v>
      </c>
      <c r="F681" s="3" t="s">
        <v>29</v>
      </c>
      <c r="G681" s="3" t="s">
        <v>17</v>
      </c>
      <c r="H681" s="3">
        <v>13274</v>
      </c>
      <c r="I681" s="3">
        <v>378</v>
      </c>
      <c r="J681" s="3">
        <v>11</v>
      </c>
      <c r="K681" s="12">
        <v>435.34</v>
      </c>
      <c r="L681" s="9">
        <v>670.73</v>
      </c>
      <c r="M681" s="16">
        <f t="shared" si="50"/>
        <v>2.8476721410275727E-2</v>
      </c>
      <c r="N681" s="18">
        <f t="shared" si="51"/>
        <v>2.9100529100529099E-2</v>
      </c>
      <c r="O681" s="8">
        <f t="shared" si="52"/>
        <v>39.576363636363631</v>
      </c>
      <c r="P681" s="14">
        <f t="shared" si="53"/>
        <v>235.39000000000004</v>
      </c>
      <c r="Q681" s="16">
        <f t="shared" si="54"/>
        <v>0.54070381770570142</v>
      </c>
    </row>
    <row r="682" spans="1:17" x14ac:dyDescent="0.2">
      <c r="A682" s="2">
        <v>45716</v>
      </c>
      <c r="B682" s="3" t="s">
        <v>880</v>
      </c>
      <c r="C682" s="3" t="s">
        <v>156</v>
      </c>
      <c r="D682" s="3" t="s">
        <v>46</v>
      </c>
      <c r="E682" s="3" t="s">
        <v>31</v>
      </c>
      <c r="F682" s="3" t="s">
        <v>47</v>
      </c>
      <c r="G682" s="3" t="s">
        <v>17</v>
      </c>
      <c r="H682" s="3">
        <v>14953</v>
      </c>
      <c r="I682" s="3">
        <v>667</v>
      </c>
      <c r="J682" s="3">
        <v>20</v>
      </c>
      <c r="K682" s="12">
        <v>1244.3800000000001</v>
      </c>
      <c r="L682" s="9">
        <v>1455.34</v>
      </c>
      <c r="M682" s="16">
        <f t="shared" si="50"/>
        <v>4.4606433491607034E-2</v>
      </c>
      <c r="N682" s="18">
        <f t="shared" si="51"/>
        <v>2.9985007496251874E-2</v>
      </c>
      <c r="O682" s="8">
        <f t="shared" si="52"/>
        <v>62.219000000000008</v>
      </c>
      <c r="P682" s="14">
        <f t="shared" si="53"/>
        <v>210.95999999999981</v>
      </c>
      <c r="Q682" s="16">
        <f t="shared" si="54"/>
        <v>0.16953020781433306</v>
      </c>
    </row>
    <row r="683" spans="1:17" x14ac:dyDescent="0.2">
      <c r="A683" s="2">
        <v>45716</v>
      </c>
      <c r="B683" s="3" t="s">
        <v>223</v>
      </c>
      <c r="C683" s="3" t="s">
        <v>58</v>
      </c>
      <c r="D683" s="3" t="s">
        <v>37</v>
      </c>
      <c r="E683" s="3" t="s">
        <v>31</v>
      </c>
      <c r="F683" s="3" t="s">
        <v>29</v>
      </c>
      <c r="G683" s="3" t="s">
        <v>25</v>
      </c>
      <c r="H683" s="3">
        <v>3605</v>
      </c>
      <c r="I683" s="3">
        <v>119</v>
      </c>
      <c r="J683" s="3">
        <v>4</v>
      </c>
      <c r="K683" s="12">
        <v>633.79</v>
      </c>
      <c r="L683" s="9">
        <v>591.64</v>
      </c>
      <c r="M683" s="16">
        <f t="shared" si="50"/>
        <v>3.3009708737864081E-2</v>
      </c>
      <c r="N683" s="18">
        <f t="shared" si="51"/>
        <v>3.3613445378151259E-2</v>
      </c>
      <c r="O683" s="8">
        <f t="shared" si="52"/>
        <v>158.44749999999999</v>
      </c>
      <c r="P683" s="14">
        <f t="shared" si="53"/>
        <v>-42.149999999999977</v>
      </c>
      <c r="Q683" s="16">
        <f t="shared" si="54"/>
        <v>-6.650467820571479E-2</v>
      </c>
    </row>
    <row r="684" spans="1:17" x14ac:dyDescent="0.2">
      <c r="A684" s="2">
        <v>45716</v>
      </c>
      <c r="B684" s="3" t="s">
        <v>881</v>
      </c>
      <c r="C684" s="3" t="s">
        <v>27</v>
      </c>
      <c r="D684" s="3" t="s">
        <v>28</v>
      </c>
      <c r="E684" s="3" t="s">
        <v>15</v>
      </c>
      <c r="F684" s="3" t="s">
        <v>16</v>
      </c>
      <c r="G684" s="3" t="s">
        <v>17</v>
      </c>
      <c r="H684" s="3">
        <v>21265</v>
      </c>
      <c r="I684" s="3">
        <v>436</v>
      </c>
      <c r="J684" s="3">
        <v>2</v>
      </c>
      <c r="K684" s="12">
        <v>375.2</v>
      </c>
      <c r="L684" s="9">
        <v>99.93</v>
      </c>
      <c r="M684" s="16">
        <f t="shared" si="50"/>
        <v>2.0503174229955325E-2</v>
      </c>
      <c r="N684" s="18">
        <f t="shared" si="51"/>
        <v>4.5871559633027525E-3</v>
      </c>
      <c r="O684" s="8">
        <f t="shared" si="52"/>
        <v>187.6</v>
      </c>
      <c r="P684" s="14">
        <f t="shared" si="53"/>
        <v>-275.27</v>
      </c>
      <c r="Q684" s="16">
        <f t="shared" si="54"/>
        <v>-0.73366204690831549</v>
      </c>
    </row>
    <row r="685" spans="1:17" x14ac:dyDescent="0.2">
      <c r="A685" s="2">
        <v>45716</v>
      </c>
      <c r="B685" s="3" t="s">
        <v>133</v>
      </c>
      <c r="C685" s="3" t="s">
        <v>41</v>
      </c>
      <c r="D685" s="3" t="s">
        <v>24</v>
      </c>
      <c r="E685" s="3" t="s">
        <v>20</v>
      </c>
      <c r="F685" s="3" t="s">
        <v>50</v>
      </c>
      <c r="G685" s="3" t="s">
        <v>21</v>
      </c>
      <c r="H685" s="3">
        <v>1339</v>
      </c>
      <c r="I685" s="3">
        <v>149</v>
      </c>
      <c r="J685" s="3">
        <v>27</v>
      </c>
      <c r="K685" s="12">
        <v>33.340000000000003</v>
      </c>
      <c r="L685" s="9">
        <v>3007.63</v>
      </c>
      <c r="M685" s="16">
        <f t="shared" si="50"/>
        <v>0.11127707244212098</v>
      </c>
      <c r="N685" s="18">
        <f t="shared" si="51"/>
        <v>0.18120805369127516</v>
      </c>
      <c r="O685" s="8">
        <f t="shared" si="52"/>
        <v>1.234814814814815</v>
      </c>
      <c r="P685" s="14">
        <f t="shared" si="53"/>
        <v>2974.29</v>
      </c>
      <c r="Q685" s="16">
        <f t="shared" si="54"/>
        <v>89.2108578284343</v>
      </c>
    </row>
    <row r="686" spans="1:17" x14ac:dyDescent="0.2">
      <c r="A686" s="2">
        <v>45716</v>
      </c>
      <c r="B686" s="3" t="s">
        <v>882</v>
      </c>
      <c r="C686" s="3" t="s">
        <v>13</v>
      </c>
      <c r="D686" s="3" t="s">
        <v>14</v>
      </c>
      <c r="E686" s="3" t="s">
        <v>20</v>
      </c>
      <c r="F686" s="3" t="s">
        <v>34</v>
      </c>
      <c r="G686" s="3" t="s">
        <v>21</v>
      </c>
      <c r="H686" s="3">
        <v>14977</v>
      </c>
      <c r="I686" s="3">
        <v>877</v>
      </c>
      <c r="J686" s="3">
        <v>53</v>
      </c>
      <c r="K686" s="12">
        <v>1648.26</v>
      </c>
      <c r="L686" s="9">
        <v>5841.9</v>
      </c>
      <c r="M686" s="16">
        <f t="shared" si="50"/>
        <v>5.8556453228283366E-2</v>
      </c>
      <c r="N686" s="18">
        <f t="shared" si="51"/>
        <v>6.0433295324971492E-2</v>
      </c>
      <c r="O686" s="8">
        <f t="shared" si="52"/>
        <v>31.099245283018867</v>
      </c>
      <c r="P686" s="14">
        <f t="shared" si="53"/>
        <v>4193.6399999999994</v>
      </c>
      <c r="Q686" s="16">
        <f t="shared" si="54"/>
        <v>2.5442830621382546</v>
      </c>
    </row>
    <row r="687" spans="1:17" x14ac:dyDescent="0.2">
      <c r="A687" s="2">
        <v>45716</v>
      </c>
      <c r="B687" s="3" t="s">
        <v>883</v>
      </c>
      <c r="C687" s="3" t="s">
        <v>13</v>
      </c>
      <c r="D687" s="3" t="s">
        <v>14</v>
      </c>
      <c r="E687" s="3" t="s">
        <v>20</v>
      </c>
      <c r="F687" s="3" t="s">
        <v>50</v>
      </c>
      <c r="G687" s="3" t="s">
        <v>17</v>
      </c>
      <c r="H687" s="3">
        <v>6134</v>
      </c>
      <c r="I687" s="3">
        <v>290</v>
      </c>
      <c r="J687" s="3">
        <v>8</v>
      </c>
      <c r="K687" s="12">
        <v>0</v>
      </c>
      <c r="L687" s="9">
        <v>715.17</v>
      </c>
      <c r="M687" s="16">
        <f t="shared" si="50"/>
        <v>4.7277469840234759E-2</v>
      </c>
      <c r="N687" s="18">
        <f t="shared" si="51"/>
        <v>2.7586206896551724E-2</v>
      </c>
      <c r="O687" s="8">
        <f t="shared" si="52"/>
        <v>0</v>
      </c>
      <c r="P687" s="14">
        <f t="shared" si="53"/>
        <v>715.17</v>
      </c>
      <c r="Q687" s="16">
        <f t="shared" si="54"/>
        <v>0</v>
      </c>
    </row>
    <row r="688" spans="1:17" x14ac:dyDescent="0.2">
      <c r="A688" s="2">
        <v>45716</v>
      </c>
      <c r="B688" s="3" t="s">
        <v>884</v>
      </c>
      <c r="C688" s="3" t="s">
        <v>39</v>
      </c>
      <c r="D688" s="3" t="s">
        <v>28</v>
      </c>
      <c r="E688" s="3" t="s">
        <v>31</v>
      </c>
      <c r="F688" s="3" t="s">
        <v>34</v>
      </c>
      <c r="G688" s="3" t="s">
        <v>17</v>
      </c>
      <c r="H688" s="3">
        <v>35705</v>
      </c>
      <c r="I688" s="3">
        <v>1243</v>
      </c>
      <c r="J688" s="3">
        <v>27</v>
      </c>
      <c r="K688" s="12">
        <v>1606.02</v>
      </c>
      <c r="L688" s="9">
        <v>2230.37</v>
      </c>
      <c r="M688" s="16">
        <f t="shared" si="50"/>
        <v>3.4813051393362271E-2</v>
      </c>
      <c r="N688" s="18">
        <f t="shared" si="51"/>
        <v>2.1721641190667738E-2</v>
      </c>
      <c r="O688" s="8">
        <f t="shared" si="52"/>
        <v>59.482222222222219</v>
      </c>
      <c r="P688" s="14">
        <f t="shared" si="53"/>
        <v>624.34999999999991</v>
      </c>
      <c r="Q688" s="16">
        <f t="shared" si="54"/>
        <v>0.38875605534177654</v>
      </c>
    </row>
    <row r="689" spans="1:17" x14ac:dyDescent="0.2">
      <c r="A689" s="2">
        <v>45716</v>
      </c>
      <c r="B689" s="3" t="s">
        <v>885</v>
      </c>
      <c r="C689" s="3" t="s">
        <v>71</v>
      </c>
      <c r="D689" s="3" t="s">
        <v>37</v>
      </c>
      <c r="E689" s="3" t="s">
        <v>20</v>
      </c>
      <c r="F689" s="3" t="s">
        <v>47</v>
      </c>
      <c r="G689" s="3" t="s">
        <v>25</v>
      </c>
      <c r="H689" s="3">
        <v>2118</v>
      </c>
      <c r="I689" s="3">
        <v>83</v>
      </c>
      <c r="J689" s="3">
        <v>1</v>
      </c>
      <c r="K689" s="12">
        <v>379.79</v>
      </c>
      <c r="L689" s="9">
        <v>34.840000000000003</v>
      </c>
      <c r="M689" s="16">
        <f t="shared" si="50"/>
        <v>3.9187913125590182E-2</v>
      </c>
      <c r="N689" s="18">
        <f t="shared" si="51"/>
        <v>1.2048192771084338E-2</v>
      </c>
      <c r="O689" s="8">
        <f t="shared" si="52"/>
        <v>379.79</v>
      </c>
      <c r="P689" s="14">
        <f t="shared" si="53"/>
        <v>-344.95000000000005</v>
      </c>
      <c r="Q689" s="16">
        <f t="shared" si="54"/>
        <v>-0.90826509386766374</v>
      </c>
    </row>
    <row r="690" spans="1:17" x14ac:dyDescent="0.2">
      <c r="A690" s="2">
        <v>45716</v>
      </c>
      <c r="B690" s="3" t="s">
        <v>886</v>
      </c>
      <c r="C690" s="3" t="s">
        <v>120</v>
      </c>
      <c r="D690" s="3" t="s">
        <v>14</v>
      </c>
      <c r="E690" s="3" t="s">
        <v>15</v>
      </c>
      <c r="F690" s="3" t="s">
        <v>34</v>
      </c>
      <c r="G690" s="3" t="s">
        <v>17</v>
      </c>
      <c r="H690" s="3">
        <v>6905</v>
      </c>
      <c r="I690" s="3">
        <v>213</v>
      </c>
      <c r="J690" s="3">
        <v>4</v>
      </c>
      <c r="K690" s="12">
        <v>332.63</v>
      </c>
      <c r="L690" s="9">
        <v>373.96</v>
      </c>
      <c r="M690" s="16">
        <f t="shared" si="50"/>
        <v>3.0847212165097754E-2</v>
      </c>
      <c r="N690" s="18">
        <f t="shared" si="51"/>
        <v>1.8779342723004695E-2</v>
      </c>
      <c r="O690" s="8">
        <f t="shared" si="52"/>
        <v>83.157499999999999</v>
      </c>
      <c r="P690" s="14">
        <f t="shared" si="53"/>
        <v>41.329999999999984</v>
      </c>
      <c r="Q690" s="16">
        <f t="shared" si="54"/>
        <v>0.12425217208309529</v>
      </c>
    </row>
    <row r="691" spans="1:17" x14ac:dyDescent="0.2">
      <c r="A691" s="2">
        <v>45717</v>
      </c>
      <c r="B691" s="3" t="s">
        <v>887</v>
      </c>
      <c r="C691" s="3" t="s">
        <v>33</v>
      </c>
      <c r="D691" s="3" t="s">
        <v>28</v>
      </c>
      <c r="E691" s="3" t="s">
        <v>31</v>
      </c>
      <c r="F691" s="3" t="s">
        <v>16</v>
      </c>
      <c r="G691" s="3" t="s">
        <v>21</v>
      </c>
      <c r="H691" s="3">
        <v>22931</v>
      </c>
      <c r="I691" s="3">
        <v>478</v>
      </c>
      <c r="J691" s="3">
        <v>12</v>
      </c>
      <c r="K691" s="12">
        <v>472.45</v>
      </c>
      <c r="L691" s="9">
        <v>713.63</v>
      </c>
      <c r="M691" s="16">
        <f t="shared" si="50"/>
        <v>2.0845144128036282E-2</v>
      </c>
      <c r="N691" s="18">
        <f t="shared" si="51"/>
        <v>2.5104602510460251E-2</v>
      </c>
      <c r="O691" s="8">
        <f t="shared" si="52"/>
        <v>39.37083333333333</v>
      </c>
      <c r="P691" s="14">
        <f t="shared" si="53"/>
        <v>241.18</v>
      </c>
      <c r="Q691" s="16">
        <f t="shared" si="54"/>
        <v>0.51048788231558895</v>
      </c>
    </row>
    <row r="692" spans="1:17" x14ac:dyDescent="0.2">
      <c r="A692" s="2">
        <v>45717</v>
      </c>
      <c r="B692" s="3" t="s">
        <v>77</v>
      </c>
      <c r="C692" s="3" t="s">
        <v>49</v>
      </c>
      <c r="D692" s="3" t="s">
        <v>46</v>
      </c>
      <c r="E692" s="3" t="s">
        <v>20</v>
      </c>
      <c r="F692" s="3" t="s">
        <v>16</v>
      </c>
      <c r="G692" s="3" t="s">
        <v>25</v>
      </c>
      <c r="H692" s="3">
        <v>9309</v>
      </c>
      <c r="I692" s="3">
        <v>322</v>
      </c>
      <c r="J692" s="3">
        <v>7</v>
      </c>
      <c r="K692" s="12">
        <v>475.77</v>
      </c>
      <c r="L692" s="9">
        <v>653.71</v>
      </c>
      <c r="M692" s="16">
        <f t="shared" si="50"/>
        <v>3.4590181544741645E-2</v>
      </c>
      <c r="N692" s="18">
        <f t="shared" si="51"/>
        <v>2.1739130434782608E-2</v>
      </c>
      <c r="O692" s="8">
        <f t="shared" si="52"/>
        <v>67.967142857142861</v>
      </c>
      <c r="P692" s="14">
        <f t="shared" si="53"/>
        <v>177.94000000000005</v>
      </c>
      <c r="Q692" s="16">
        <f t="shared" si="54"/>
        <v>0.37400424574899649</v>
      </c>
    </row>
    <row r="693" spans="1:17" x14ac:dyDescent="0.2">
      <c r="A693" s="2">
        <v>45717</v>
      </c>
      <c r="B693" s="3" t="s">
        <v>888</v>
      </c>
      <c r="C693" s="3" t="s">
        <v>110</v>
      </c>
      <c r="D693" s="3" t="s">
        <v>24</v>
      </c>
      <c r="E693" s="3" t="s">
        <v>20</v>
      </c>
      <c r="F693" s="3" t="s">
        <v>47</v>
      </c>
      <c r="G693" s="3" t="s">
        <v>17</v>
      </c>
      <c r="H693" s="3">
        <v>2940</v>
      </c>
      <c r="I693" s="3">
        <v>424</v>
      </c>
      <c r="J693" s="3">
        <v>54</v>
      </c>
      <c r="K693" s="12">
        <v>192.38</v>
      </c>
      <c r="L693" s="9">
        <v>5268.44</v>
      </c>
      <c r="M693" s="16">
        <f t="shared" si="50"/>
        <v>0.14421768707482993</v>
      </c>
      <c r="N693" s="18">
        <f t="shared" si="51"/>
        <v>0.12735849056603774</v>
      </c>
      <c r="O693" s="8">
        <f t="shared" si="52"/>
        <v>3.5625925925925923</v>
      </c>
      <c r="P693" s="14">
        <f t="shared" si="53"/>
        <v>5076.0599999999995</v>
      </c>
      <c r="Q693" s="16">
        <f t="shared" si="54"/>
        <v>26.385591017777315</v>
      </c>
    </row>
    <row r="694" spans="1:17" x14ac:dyDescent="0.2">
      <c r="A694" s="2">
        <v>45717</v>
      </c>
      <c r="B694" s="3" t="s">
        <v>358</v>
      </c>
      <c r="C694" s="3" t="s">
        <v>39</v>
      </c>
      <c r="D694" s="3" t="s">
        <v>28</v>
      </c>
      <c r="E694" s="3" t="s">
        <v>15</v>
      </c>
      <c r="F694" s="3" t="s">
        <v>34</v>
      </c>
      <c r="G694" s="3" t="s">
        <v>21</v>
      </c>
      <c r="H694" s="3">
        <v>24648</v>
      </c>
      <c r="I694" s="3">
        <v>264</v>
      </c>
      <c r="J694" s="3">
        <v>3</v>
      </c>
      <c r="K694" s="12">
        <v>261.27999999999997</v>
      </c>
      <c r="L694" s="9">
        <v>183.61</v>
      </c>
      <c r="M694" s="16">
        <f t="shared" si="50"/>
        <v>1.0710808179162609E-2</v>
      </c>
      <c r="N694" s="18">
        <f t="shared" si="51"/>
        <v>1.1363636363636364E-2</v>
      </c>
      <c r="O694" s="8">
        <f t="shared" si="52"/>
        <v>87.09333333333332</v>
      </c>
      <c r="P694" s="14">
        <f t="shared" si="53"/>
        <v>-77.669999999999959</v>
      </c>
      <c r="Q694" s="16">
        <f t="shared" si="54"/>
        <v>-0.29726729944886698</v>
      </c>
    </row>
    <row r="695" spans="1:17" x14ac:dyDescent="0.2">
      <c r="A695" s="2">
        <v>45717</v>
      </c>
      <c r="B695" s="3" t="s">
        <v>57</v>
      </c>
      <c r="C695" s="3" t="s">
        <v>52</v>
      </c>
      <c r="D695" s="3" t="s">
        <v>24</v>
      </c>
      <c r="E695" s="3" t="s">
        <v>31</v>
      </c>
      <c r="F695" s="3" t="s">
        <v>16</v>
      </c>
      <c r="G695" s="3" t="s">
        <v>17</v>
      </c>
      <c r="H695" s="3">
        <v>2728</v>
      </c>
      <c r="I695" s="3">
        <v>430</v>
      </c>
      <c r="J695" s="3">
        <v>80</v>
      </c>
      <c r="K695" s="12">
        <v>128.47</v>
      </c>
      <c r="L695" s="9">
        <v>6964.69</v>
      </c>
      <c r="M695" s="16">
        <f t="shared" si="50"/>
        <v>0.15762463343108504</v>
      </c>
      <c r="N695" s="18">
        <f t="shared" si="51"/>
        <v>0.18604651162790697</v>
      </c>
      <c r="O695" s="8">
        <f t="shared" si="52"/>
        <v>1.6058749999999999</v>
      </c>
      <c r="P695" s="14">
        <f t="shared" si="53"/>
        <v>6836.2199999999993</v>
      </c>
      <c r="Q695" s="16">
        <f t="shared" si="54"/>
        <v>53.212578812174044</v>
      </c>
    </row>
    <row r="696" spans="1:17" x14ac:dyDescent="0.2">
      <c r="A696" s="2">
        <v>45717</v>
      </c>
      <c r="B696" s="3" t="s">
        <v>889</v>
      </c>
      <c r="C696" s="3" t="s">
        <v>41</v>
      </c>
      <c r="D696" s="3" t="s">
        <v>24</v>
      </c>
      <c r="E696" s="3" t="s">
        <v>31</v>
      </c>
      <c r="F696" s="3" t="s">
        <v>47</v>
      </c>
      <c r="G696" s="3" t="s">
        <v>17</v>
      </c>
      <c r="H696" s="3">
        <v>3149</v>
      </c>
      <c r="I696" s="3">
        <v>452</v>
      </c>
      <c r="J696" s="3">
        <v>56</v>
      </c>
      <c r="K696" s="12">
        <v>118.84</v>
      </c>
      <c r="L696" s="9">
        <v>5497.33</v>
      </c>
      <c r="M696" s="16">
        <f t="shared" si="50"/>
        <v>0.14353763099396633</v>
      </c>
      <c r="N696" s="18">
        <f t="shared" si="51"/>
        <v>0.12389380530973451</v>
      </c>
      <c r="O696" s="8">
        <f t="shared" si="52"/>
        <v>2.1221428571428573</v>
      </c>
      <c r="P696" s="14">
        <f t="shared" si="53"/>
        <v>5378.49</v>
      </c>
      <c r="Q696" s="16">
        <f t="shared" si="54"/>
        <v>45.258246381689666</v>
      </c>
    </row>
    <row r="697" spans="1:17" x14ac:dyDescent="0.2">
      <c r="A697" s="2">
        <v>45717</v>
      </c>
      <c r="B697" s="3" t="s">
        <v>890</v>
      </c>
      <c r="C697" s="3" t="s">
        <v>36</v>
      </c>
      <c r="D697" s="3" t="s">
        <v>37</v>
      </c>
      <c r="E697" s="3" t="s">
        <v>20</v>
      </c>
      <c r="F697" s="3" t="s">
        <v>29</v>
      </c>
      <c r="G697" s="3" t="s">
        <v>25</v>
      </c>
      <c r="H697" s="3">
        <v>4909</v>
      </c>
      <c r="I697" s="3">
        <v>199</v>
      </c>
      <c r="J697" s="3">
        <v>4</v>
      </c>
      <c r="K697" s="12">
        <v>1213.58</v>
      </c>
      <c r="L697" s="9">
        <v>463.24</v>
      </c>
      <c r="M697" s="16">
        <f t="shared" si="50"/>
        <v>4.0537787736809938E-2</v>
      </c>
      <c r="N697" s="18">
        <f t="shared" si="51"/>
        <v>2.0100502512562814E-2</v>
      </c>
      <c r="O697" s="8">
        <f t="shared" si="52"/>
        <v>303.39499999999998</v>
      </c>
      <c r="P697" s="14">
        <f t="shared" si="53"/>
        <v>-750.33999999999992</v>
      </c>
      <c r="Q697" s="16">
        <f t="shared" si="54"/>
        <v>-0.61828639232683458</v>
      </c>
    </row>
    <row r="698" spans="1:17" x14ac:dyDescent="0.2">
      <c r="A698" s="2">
        <v>45718</v>
      </c>
      <c r="B698" s="3" t="s">
        <v>119</v>
      </c>
      <c r="C698" s="3" t="s">
        <v>41</v>
      </c>
      <c r="D698" s="3" t="s">
        <v>24</v>
      </c>
      <c r="E698" s="3" t="s">
        <v>15</v>
      </c>
      <c r="F698" s="3" t="s">
        <v>50</v>
      </c>
      <c r="G698" s="3" t="s">
        <v>17</v>
      </c>
      <c r="H698" s="3">
        <v>1836</v>
      </c>
      <c r="I698" s="3">
        <v>208</v>
      </c>
      <c r="J698" s="3">
        <v>13</v>
      </c>
      <c r="K698" s="12">
        <v>109.52</v>
      </c>
      <c r="L698" s="9">
        <v>1468.64</v>
      </c>
      <c r="M698" s="16">
        <f t="shared" si="50"/>
        <v>0.11328976034858387</v>
      </c>
      <c r="N698" s="18">
        <f t="shared" si="51"/>
        <v>6.25E-2</v>
      </c>
      <c r="O698" s="8">
        <f t="shared" si="52"/>
        <v>8.4246153846153842</v>
      </c>
      <c r="P698" s="14">
        <f t="shared" si="53"/>
        <v>1359.1200000000001</v>
      </c>
      <c r="Q698" s="16">
        <f t="shared" si="54"/>
        <v>12.409788166544924</v>
      </c>
    </row>
    <row r="699" spans="1:17" x14ac:dyDescent="0.2">
      <c r="A699" s="2">
        <v>45718</v>
      </c>
      <c r="B699" s="3" t="s">
        <v>891</v>
      </c>
      <c r="C699" s="3" t="s">
        <v>27</v>
      </c>
      <c r="D699" s="3" t="s">
        <v>28</v>
      </c>
      <c r="E699" s="3" t="s">
        <v>20</v>
      </c>
      <c r="F699" s="3" t="s">
        <v>16</v>
      </c>
      <c r="G699" s="3" t="s">
        <v>25</v>
      </c>
      <c r="H699" s="3">
        <v>36276</v>
      </c>
      <c r="I699" s="3">
        <v>821</v>
      </c>
      <c r="J699" s="3">
        <v>9</v>
      </c>
      <c r="K699" s="12">
        <v>735.87</v>
      </c>
      <c r="L699" s="9">
        <v>615.46</v>
      </c>
      <c r="M699" s="16">
        <f t="shared" si="50"/>
        <v>2.2632043224170249E-2</v>
      </c>
      <c r="N699" s="18">
        <f t="shared" si="51"/>
        <v>1.0962241169305725E-2</v>
      </c>
      <c r="O699" s="8">
        <f t="shared" si="52"/>
        <v>81.763333333333335</v>
      </c>
      <c r="P699" s="14">
        <f t="shared" si="53"/>
        <v>-120.40999999999997</v>
      </c>
      <c r="Q699" s="16">
        <f t="shared" si="54"/>
        <v>-0.16362944541834831</v>
      </c>
    </row>
    <row r="700" spans="1:17" x14ac:dyDescent="0.2">
      <c r="A700" s="2">
        <v>45718</v>
      </c>
      <c r="B700" s="3" t="s">
        <v>892</v>
      </c>
      <c r="C700" s="3" t="s">
        <v>97</v>
      </c>
      <c r="D700" s="3" t="s">
        <v>46</v>
      </c>
      <c r="E700" s="3" t="s">
        <v>20</v>
      </c>
      <c r="F700" s="3" t="s">
        <v>50</v>
      </c>
      <c r="G700" s="3" t="s">
        <v>21</v>
      </c>
      <c r="H700" s="3">
        <v>16475</v>
      </c>
      <c r="I700" s="3">
        <v>272</v>
      </c>
      <c r="J700" s="3">
        <v>6</v>
      </c>
      <c r="K700" s="12">
        <v>387.42</v>
      </c>
      <c r="L700" s="9">
        <v>614.01</v>
      </c>
      <c r="M700" s="16">
        <f t="shared" si="50"/>
        <v>1.6509863429438543E-2</v>
      </c>
      <c r="N700" s="18">
        <f t="shared" si="51"/>
        <v>2.2058823529411766E-2</v>
      </c>
      <c r="O700" s="8">
        <f t="shared" si="52"/>
        <v>64.570000000000007</v>
      </c>
      <c r="P700" s="14">
        <f t="shared" si="53"/>
        <v>226.58999999999997</v>
      </c>
      <c r="Q700" s="16">
        <f t="shared" si="54"/>
        <v>0.58486913427288201</v>
      </c>
    </row>
    <row r="701" spans="1:17" x14ac:dyDescent="0.2">
      <c r="A701" s="2">
        <v>45718</v>
      </c>
      <c r="B701" s="3" t="s">
        <v>893</v>
      </c>
      <c r="C701" s="3" t="s">
        <v>156</v>
      </c>
      <c r="D701" s="3" t="s">
        <v>46</v>
      </c>
      <c r="E701" s="3" t="s">
        <v>20</v>
      </c>
      <c r="F701" s="3" t="s">
        <v>29</v>
      </c>
      <c r="G701" s="3" t="s">
        <v>17</v>
      </c>
      <c r="H701" s="3">
        <v>18509</v>
      </c>
      <c r="I701" s="3">
        <v>586</v>
      </c>
      <c r="J701" s="3">
        <v>17</v>
      </c>
      <c r="K701" s="12">
        <v>952.48</v>
      </c>
      <c r="L701" s="9">
        <v>1490.14</v>
      </c>
      <c r="M701" s="16">
        <f t="shared" si="50"/>
        <v>3.1660273380517585E-2</v>
      </c>
      <c r="N701" s="18">
        <f t="shared" si="51"/>
        <v>2.9010238907849831E-2</v>
      </c>
      <c r="O701" s="8">
        <f t="shared" si="52"/>
        <v>56.02823529411765</v>
      </c>
      <c r="P701" s="14">
        <f t="shared" si="53"/>
        <v>537.66000000000008</v>
      </c>
      <c r="Q701" s="16">
        <f t="shared" si="54"/>
        <v>0.5644842936334622</v>
      </c>
    </row>
    <row r="702" spans="1:17" x14ac:dyDescent="0.2">
      <c r="A702" s="2">
        <v>45718</v>
      </c>
      <c r="B702" s="3" t="s">
        <v>423</v>
      </c>
      <c r="C702" s="3" t="s">
        <v>33</v>
      </c>
      <c r="D702" s="3" t="s">
        <v>28</v>
      </c>
      <c r="E702" s="3" t="s">
        <v>15</v>
      </c>
      <c r="F702" s="3" t="s">
        <v>34</v>
      </c>
      <c r="G702" s="3" t="s">
        <v>21</v>
      </c>
      <c r="H702" s="3">
        <v>25258</v>
      </c>
      <c r="I702" s="3">
        <v>164</v>
      </c>
      <c r="J702" s="3">
        <v>2</v>
      </c>
      <c r="K702" s="12">
        <v>167.55</v>
      </c>
      <c r="L702" s="9">
        <v>30.9</v>
      </c>
      <c r="M702" s="16">
        <f t="shared" si="50"/>
        <v>6.4929923192651832E-3</v>
      </c>
      <c r="N702" s="18">
        <f t="shared" si="51"/>
        <v>1.2195121951219513E-2</v>
      </c>
      <c r="O702" s="8">
        <f t="shared" si="52"/>
        <v>83.775000000000006</v>
      </c>
      <c r="P702" s="14">
        <f t="shared" si="53"/>
        <v>-136.65</v>
      </c>
      <c r="Q702" s="16">
        <f t="shared" si="54"/>
        <v>-0.81557743957027751</v>
      </c>
    </row>
    <row r="703" spans="1:17" x14ac:dyDescent="0.2">
      <c r="A703" s="2">
        <v>45718</v>
      </c>
      <c r="B703" s="3" t="s">
        <v>420</v>
      </c>
      <c r="C703" s="3" t="s">
        <v>120</v>
      </c>
      <c r="D703" s="3" t="s">
        <v>14</v>
      </c>
      <c r="E703" s="3" t="s">
        <v>31</v>
      </c>
      <c r="F703" s="3" t="s">
        <v>47</v>
      </c>
      <c r="G703" s="3" t="s">
        <v>21</v>
      </c>
      <c r="H703" s="3">
        <v>10327</v>
      </c>
      <c r="I703" s="3">
        <v>419</v>
      </c>
      <c r="J703" s="3">
        <v>34</v>
      </c>
      <c r="K703" s="12">
        <v>1237</v>
      </c>
      <c r="L703" s="9">
        <v>2766.28</v>
      </c>
      <c r="M703" s="16">
        <f t="shared" si="50"/>
        <v>4.0573254575384916E-2</v>
      </c>
      <c r="N703" s="18">
        <f t="shared" si="51"/>
        <v>8.1145584725536998E-2</v>
      </c>
      <c r="O703" s="8">
        <f t="shared" si="52"/>
        <v>36.382352941176471</v>
      </c>
      <c r="P703" s="14">
        <f t="shared" si="53"/>
        <v>1529.2800000000002</v>
      </c>
      <c r="Q703" s="16">
        <f t="shared" si="54"/>
        <v>1.2362813257881975</v>
      </c>
    </row>
    <row r="704" spans="1:17" x14ac:dyDescent="0.2">
      <c r="A704" s="2">
        <v>45718</v>
      </c>
      <c r="B704" s="3" t="s">
        <v>88</v>
      </c>
      <c r="C704" s="3" t="s">
        <v>13</v>
      </c>
      <c r="D704" s="3" t="s">
        <v>14</v>
      </c>
      <c r="E704" s="3" t="s">
        <v>20</v>
      </c>
      <c r="F704" s="3" t="s">
        <v>34</v>
      </c>
      <c r="G704" s="3" t="s">
        <v>17</v>
      </c>
      <c r="H704" s="3">
        <v>14164</v>
      </c>
      <c r="I704" s="3">
        <v>755</v>
      </c>
      <c r="J704" s="3">
        <v>29</v>
      </c>
      <c r="K704" s="12">
        <v>1777.98</v>
      </c>
      <c r="L704" s="9">
        <v>3139.64</v>
      </c>
      <c r="M704" s="16">
        <f t="shared" si="50"/>
        <v>5.3304151369669588E-2</v>
      </c>
      <c r="N704" s="18">
        <f t="shared" si="51"/>
        <v>3.8410596026490065E-2</v>
      </c>
      <c r="O704" s="8">
        <f t="shared" si="52"/>
        <v>61.309655172413791</v>
      </c>
      <c r="P704" s="14">
        <f t="shared" si="53"/>
        <v>1361.6599999999999</v>
      </c>
      <c r="Q704" s="16">
        <f t="shared" si="54"/>
        <v>0.76584663494527494</v>
      </c>
    </row>
    <row r="705" spans="1:17" x14ac:dyDescent="0.2">
      <c r="A705" s="2">
        <v>45718</v>
      </c>
      <c r="B705" s="3" t="s">
        <v>894</v>
      </c>
      <c r="C705" s="3" t="s">
        <v>23</v>
      </c>
      <c r="D705" s="3" t="s">
        <v>24</v>
      </c>
      <c r="E705" s="3" t="s">
        <v>20</v>
      </c>
      <c r="F705" s="3" t="s">
        <v>29</v>
      </c>
      <c r="G705" s="3" t="s">
        <v>21</v>
      </c>
      <c r="H705" s="3">
        <v>2820</v>
      </c>
      <c r="I705" s="3">
        <v>320</v>
      </c>
      <c r="J705" s="3">
        <v>33</v>
      </c>
      <c r="K705" s="12">
        <v>101.45</v>
      </c>
      <c r="L705" s="9">
        <v>3227.3</v>
      </c>
      <c r="M705" s="16">
        <f t="shared" si="50"/>
        <v>0.11347517730496454</v>
      </c>
      <c r="N705" s="18">
        <f t="shared" si="51"/>
        <v>0.10312499999999999</v>
      </c>
      <c r="O705" s="8">
        <f t="shared" si="52"/>
        <v>3.0742424242424242</v>
      </c>
      <c r="P705" s="14">
        <f t="shared" si="53"/>
        <v>3125.8500000000004</v>
      </c>
      <c r="Q705" s="16">
        <f t="shared" si="54"/>
        <v>30.811729916214887</v>
      </c>
    </row>
    <row r="706" spans="1:17" x14ac:dyDescent="0.2">
      <c r="A706" s="2">
        <v>45718</v>
      </c>
      <c r="B706" s="3" t="s">
        <v>895</v>
      </c>
      <c r="C706" s="3" t="s">
        <v>39</v>
      </c>
      <c r="D706" s="3" t="s">
        <v>28</v>
      </c>
      <c r="E706" s="3" t="s">
        <v>31</v>
      </c>
      <c r="F706" s="3" t="s">
        <v>47</v>
      </c>
      <c r="G706" s="3" t="s">
        <v>17</v>
      </c>
      <c r="H706" s="3">
        <v>29087</v>
      </c>
      <c r="I706" s="3">
        <v>998</v>
      </c>
      <c r="J706" s="3">
        <v>21</v>
      </c>
      <c r="K706" s="12">
        <v>994.85</v>
      </c>
      <c r="L706" s="9">
        <v>1323.06</v>
      </c>
      <c r="M706" s="16">
        <f t="shared" si="50"/>
        <v>3.4310860521882626E-2</v>
      </c>
      <c r="N706" s="18">
        <f t="shared" si="51"/>
        <v>2.1042084168336674E-2</v>
      </c>
      <c r="O706" s="8">
        <f t="shared" si="52"/>
        <v>47.373809523809527</v>
      </c>
      <c r="P706" s="14">
        <f t="shared" si="53"/>
        <v>328.20999999999992</v>
      </c>
      <c r="Q706" s="16">
        <f t="shared" si="54"/>
        <v>0.32990903151228818</v>
      </c>
    </row>
    <row r="707" spans="1:17" x14ac:dyDescent="0.2">
      <c r="A707" s="2">
        <v>45718</v>
      </c>
      <c r="B707" s="3" t="s">
        <v>448</v>
      </c>
      <c r="C707" s="3" t="s">
        <v>156</v>
      </c>
      <c r="D707" s="3" t="s">
        <v>46</v>
      </c>
      <c r="E707" s="3" t="s">
        <v>20</v>
      </c>
      <c r="F707" s="3" t="s">
        <v>50</v>
      </c>
      <c r="G707" s="3" t="s">
        <v>25</v>
      </c>
      <c r="H707" s="3">
        <v>15785</v>
      </c>
      <c r="I707" s="3">
        <v>649</v>
      </c>
      <c r="J707" s="3">
        <v>20</v>
      </c>
      <c r="K707" s="12">
        <v>1172.52</v>
      </c>
      <c r="L707" s="9">
        <v>1149.18</v>
      </c>
      <c r="M707" s="16">
        <f t="shared" ref="M707:M770" si="55">IFERROR(I707/H707,0)</f>
        <v>4.1114982578397213E-2</v>
      </c>
      <c r="N707" s="18">
        <f t="shared" ref="N707:N770" si="56">IFERROR(J707/I707,0)</f>
        <v>3.0816640986132512E-2</v>
      </c>
      <c r="O707" s="8">
        <f t="shared" ref="O707:O770" si="57">IFERROR(K707/J707,0)</f>
        <v>58.625999999999998</v>
      </c>
      <c r="P707" s="14">
        <f t="shared" ref="P707:P770" si="58">L707-K707</f>
        <v>-23.339999999999918</v>
      </c>
      <c r="Q707" s="16">
        <f t="shared" ref="Q707:Q770" si="59">IFERROR((L707-K707)/K707,0)</f>
        <v>-1.9905843823559442E-2</v>
      </c>
    </row>
    <row r="708" spans="1:17" x14ac:dyDescent="0.2">
      <c r="A708" s="2">
        <v>45718</v>
      </c>
      <c r="B708" s="3" t="s">
        <v>410</v>
      </c>
      <c r="C708" s="3" t="s">
        <v>110</v>
      </c>
      <c r="D708" s="3" t="s">
        <v>24</v>
      </c>
      <c r="E708" s="3" t="s">
        <v>31</v>
      </c>
      <c r="F708" s="3" t="s">
        <v>50</v>
      </c>
      <c r="G708" s="3" t="s">
        <v>17</v>
      </c>
      <c r="H708" s="3">
        <v>1965</v>
      </c>
      <c r="I708" s="3">
        <v>216</v>
      </c>
      <c r="J708" s="3">
        <v>47</v>
      </c>
      <c r="K708" s="12">
        <v>81.58</v>
      </c>
      <c r="L708" s="9">
        <v>5428.57</v>
      </c>
      <c r="M708" s="16">
        <f t="shared" si="55"/>
        <v>0.1099236641221374</v>
      </c>
      <c r="N708" s="18">
        <f t="shared" si="56"/>
        <v>0.21759259259259259</v>
      </c>
      <c r="O708" s="8">
        <f t="shared" si="57"/>
        <v>1.7357446808510637</v>
      </c>
      <c r="P708" s="14">
        <f t="shared" si="58"/>
        <v>5346.99</v>
      </c>
      <c r="Q708" s="16">
        <f t="shared" si="59"/>
        <v>65.542902672223576</v>
      </c>
    </row>
    <row r="709" spans="1:17" x14ac:dyDescent="0.2">
      <c r="A709" s="2">
        <v>45718</v>
      </c>
      <c r="B709" s="3" t="s">
        <v>896</v>
      </c>
      <c r="C709" s="3" t="s">
        <v>110</v>
      </c>
      <c r="D709" s="3" t="s">
        <v>24</v>
      </c>
      <c r="E709" s="3" t="s">
        <v>15</v>
      </c>
      <c r="F709" s="3" t="s">
        <v>47</v>
      </c>
      <c r="G709" s="3" t="s">
        <v>25</v>
      </c>
      <c r="H709" s="3">
        <v>1386</v>
      </c>
      <c r="I709" s="3">
        <v>144</v>
      </c>
      <c r="J709" s="3">
        <v>17</v>
      </c>
      <c r="K709" s="12">
        <v>60.63</v>
      </c>
      <c r="L709" s="9">
        <v>1437.03</v>
      </c>
      <c r="M709" s="16">
        <f t="shared" si="55"/>
        <v>0.1038961038961039</v>
      </c>
      <c r="N709" s="18">
        <f t="shared" si="56"/>
        <v>0.11805555555555555</v>
      </c>
      <c r="O709" s="8">
        <f t="shared" si="57"/>
        <v>3.5664705882352941</v>
      </c>
      <c r="P709" s="14">
        <f t="shared" si="58"/>
        <v>1376.3999999999999</v>
      </c>
      <c r="Q709" s="16">
        <f t="shared" si="59"/>
        <v>22.701632855022265</v>
      </c>
    </row>
    <row r="710" spans="1:17" x14ac:dyDescent="0.2">
      <c r="A710" s="2">
        <v>45719</v>
      </c>
      <c r="B710" s="3" t="s">
        <v>897</v>
      </c>
      <c r="C710" s="3" t="s">
        <v>52</v>
      </c>
      <c r="D710" s="3" t="s">
        <v>24</v>
      </c>
      <c r="E710" s="3" t="s">
        <v>20</v>
      </c>
      <c r="F710" s="3" t="s">
        <v>16</v>
      </c>
      <c r="G710" s="3" t="s">
        <v>17</v>
      </c>
      <c r="H710" s="3">
        <v>2325</v>
      </c>
      <c r="I710" s="3">
        <v>249</v>
      </c>
      <c r="J710" s="3">
        <v>27</v>
      </c>
      <c r="K710" s="12">
        <v>111.79</v>
      </c>
      <c r="L710" s="9">
        <v>2439.25</v>
      </c>
      <c r="M710" s="16">
        <f t="shared" si="55"/>
        <v>0.10709677419354839</v>
      </c>
      <c r="N710" s="18">
        <f t="shared" si="56"/>
        <v>0.10843373493975904</v>
      </c>
      <c r="O710" s="8">
        <f t="shared" si="57"/>
        <v>4.1403703703703707</v>
      </c>
      <c r="P710" s="14">
        <f t="shared" si="58"/>
        <v>2327.46</v>
      </c>
      <c r="Q710" s="16">
        <f t="shared" si="59"/>
        <v>20.819930226317201</v>
      </c>
    </row>
    <row r="711" spans="1:17" x14ac:dyDescent="0.2">
      <c r="A711" s="2">
        <v>45719</v>
      </c>
      <c r="B711" s="3" t="s">
        <v>898</v>
      </c>
      <c r="C711" s="3" t="s">
        <v>58</v>
      </c>
      <c r="D711" s="3" t="s">
        <v>37</v>
      </c>
      <c r="E711" s="3" t="s">
        <v>20</v>
      </c>
      <c r="F711" s="3" t="s">
        <v>16</v>
      </c>
      <c r="G711" s="3" t="s">
        <v>17</v>
      </c>
      <c r="H711" s="3">
        <v>4944</v>
      </c>
      <c r="I711" s="3">
        <v>212</v>
      </c>
      <c r="J711" s="3">
        <v>2</v>
      </c>
      <c r="K711" s="12">
        <v>1366.92</v>
      </c>
      <c r="L711" s="9">
        <v>229.9</v>
      </c>
      <c r="M711" s="16">
        <f t="shared" si="55"/>
        <v>4.2880258899676373E-2</v>
      </c>
      <c r="N711" s="18">
        <f t="shared" si="56"/>
        <v>9.433962264150943E-3</v>
      </c>
      <c r="O711" s="8">
        <f t="shared" si="57"/>
        <v>683.46</v>
      </c>
      <c r="P711" s="14">
        <f t="shared" si="58"/>
        <v>-1137.02</v>
      </c>
      <c r="Q711" s="16">
        <f t="shared" si="59"/>
        <v>-0.83181166417932284</v>
      </c>
    </row>
    <row r="712" spans="1:17" x14ac:dyDescent="0.2">
      <c r="A712" s="2">
        <v>45719</v>
      </c>
      <c r="B712" s="3" t="s">
        <v>899</v>
      </c>
      <c r="C712" s="3" t="s">
        <v>71</v>
      </c>
      <c r="D712" s="3" t="s">
        <v>37</v>
      </c>
      <c r="E712" s="3" t="s">
        <v>31</v>
      </c>
      <c r="F712" s="3" t="s">
        <v>50</v>
      </c>
      <c r="G712" s="3" t="s">
        <v>17</v>
      </c>
      <c r="H712" s="3">
        <v>3789</v>
      </c>
      <c r="I712" s="3">
        <v>208</v>
      </c>
      <c r="J712" s="3">
        <v>3</v>
      </c>
      <c r="K712" s="12">
        <v>1507.96</v>
      </c>
      <c r="L712" s="9">
        <v>553.41</v>
      </c>
      <c r="M712" s="16">
        <f t="shared" si="55"/>
        <v>5.489575085774611E-2</v>
      </c>
      <c r="N712" s="18">
        <f t="shared" si="56"/>
        <v>1.4423076923076924E-2</v>
      </c>
      <c r="O712" s="8">
        <f t="shared" si="57"/>
        <v>502.65333333333336</v>
      </c>
      <c r="P712" s="14">
        <f t="shared" si="58"/>
        <v>-954.55000000000007</v>
      </c>
      <c r="Q712" s="16">
        <f t="shared" si="59"/>
        <v>-0.63300750683041995</v>
      </c>
    </row>
    <row r="713" spans="1:17" x14ac:dyDescent="0.2">
      <c r="A713" s="2">
        <v>45719</v>
      </c>
      <c r="B713" s="3" t="s">
        <v>900</v>
      </c>
      <c r="C713" s="3" t="s">
        <v>49</v>
      </c>
      <c r="D713" s="3" t="s">
        <v>46</v>
      </c>
      <c r="E713" s="3" t="s">
        <v>31</v>
      </c>
      <c r="F713" s="3" t="s">
        <v>50</v>
      </c>
      <c r="G713" s="3" t="s">
        <v>21</v>
      </c>
      <c r="H713" s="3">
        <v>9890</v>
      </c>
      <c r="I713" s="3">
        <v>280</v>
      </c>
      <c r="J713" s="3">
        <v>11</v>
      </c>
      <c r="K713" s="12">
        <v>339.03</v>
      </c>
      <c r="L713" s="9">
        <v>673.9</v>
      </c>
      <c r="M713" s="16">
        <f t="shared" si="55"/>
        <v>2.8311425682507583E-2</v>
      </c>
      <c r="N713" s="18">
        <f t="shared" si="56"/>
        <v>3.9285714285714285E-2</v>
      </c>
      <c r="O713" s="8">
        <f t="shared" si="57"/>
        <v>30.820909090909087</v>
      </c>
      <c r="P713" s="14">
        <f t="shared" si="58"/>
        <v>334.87</v>
      </c>
      <c r="Q713" s="16">
        <f t="shared" si="59"/>
        <v>0.98772969943662814</v>
      </c>
    </row>
    <row r="714" spans="1:17" x14ac:dyDescent="0.2">
      <c r="A714" s="2">
        <v>45719</v>
      </c>
      <c r="B714" s="3" t="s">
        <v>901</v>
      </c>
      <c r="C714" s="3" t="s">
        <v>58</v>
      </c>
      <c r="D714" s="3" t="s">
        <v>37</v>
      </c>
      <c r="E714" s="3" t="s">
        <v>20</v>
      </c>
      <c r="F714" s="3" t="s">
        <v>47</v>
      </c>
      <c r="G714" s="3" t="s">
        <v>17</v>
      </c>
      <c r="H714" s="3">
        <v>2308</v>
      </c>
      <c r="I714" s="3">
        <v>90</v>
      </c>
      <c r="J714" s="3">
        <v>1</v>
      </c>
      <c r="K714" s="12">
        <v>542.64</v>
      </c>
      <c r="L714" s="9">
        <v>111.35</v>
      </c>
      <c r="M714" s="16">
        <f t="shared" si="55"/>
        <v>3.8994800693240898E-2</v>
      </c>
      <c r="N714" s="18">
        <f t="shared" si="56"/>
        <v>1.1111111111111112E-2</v>
      </c>
      <c r="O714" s="8">
        <f t="shared" si="57"/>
        <v>542.64</v>
      </c>
      <c r="P714" s="14">
        <f t="shared" si="58"/>
        <v>-431.28999999999996</v>
      </c>
      <c r="Q714" s="16">
        <f t="shared" si="59"/>
        <v>-0.79479949874686717</v>
      </c>
    </row>
    <row r="715" spans="1:17" x14ac:dyDescent="0.2">
      <c r="A715" s="2">
        <v>45719</v>
      </c>
      <c r="B715" s="3" t="s">
        <v>32</v>
      </c>
      <c r="C715" s="3" t="s">
        <v>110</v>
      </c>
      <c r="D715" s="3" t="s">
        <v>24</v>
      </c>
      <c r="E715" s="3" t="s">
        <v>15</v>
      </c>
      <c r="F715" s="3" t="s">
        <v>29</v>
      </c>
      <c r="G715" s="3" t="s">
        <v>17</v>
      </c>
      <c r="H715" s="3">
        <v>2903</v>
      </c>
      <c r="I715" s="3">
        <v>271</v>
      </c>
      <c r="J715" s="3">
        <v>20</v>
      </c>
      <c r="K715" s="12">
        <v>119.43</v>
      </c>
      <c r="L715" s="9">
        <v>2590.34</v>
      </c>
      <c r="M715" s="16">
        <f t="shared" si="55"/>
        <v>9.3351705132621421E-2</v>
      </c>
      <c r="N715" s="18">
        <f t="shared" si="56"/>
        <v>7.3800738007380073E-2</v>
      </c>
      <c r="O715" s="8">
        <f t="shared" si="57"/>
        <v>5.9715000000000007</v>
      </c>
      <c r="P715" s="14">
        <f t="shared" si="58"/>
        <v>2470.9100000000003</v>
      </c>
      <c r="Q715" s="16">
        <f t="shared" si="59"/>
        <v>20.689190320689946</v>
      </c>
    </row>
    <row r="716" spans="1:17" x14ac:dyDescent="0.2">
      <c r="A716" s="2">
        <v>45719</v>
      </c>
      <c r="B716" s="3" t="s">
        <v>902</v>
      </c>
      <c r="C716" s="3" t="s">
        <v>52</v>
      </c>
      <c r="D716" s="3" t="s">
        <v>24</v>
      </c>
      <c r="E716" s="3" t="s">
        <v>20</v>
      </c>
      <c r="F716" s="3" t="s">
        <v>29</v>
      </c>
      <c r="G716" s="3" t="s">
        <v>17</v>
      </c>
      <c r="H716" s="3">
        <v>1820</v>
      </c>
      <c r="I716" s="3">
        <v>265</v>
      </c>
      <c r="J716" s="3">
        <v>32</v>
      </c>
      <c r="K716" s="12">
        <v>110.46</v>
      </c>
      <c r="L716" s="9">
        <v>2985.74</v>
      </c>
      <c r="M716" s="16">
        <f t="shared" si="55"/>
        <v>0.14560439560439561</v>
      </c>
      <c r="N716" s="18">
        <f t="shared" si="56"/>
        <v>0.12075471698113208</v>
      </c>
      <c r="O716" s="8">
        <f t="shared" si="57"/>
        <v>3.4518749999999998</v>
      </c>
      <c r="P716" s="14">
        <f t="shared" si="58"/>
        <v>2875.2799999999997</v>
      </c>
      <c r="Q716" s="16">
        <f t="shared" si="59"/>
        <v>26.030056128915444</v>
      </c>
    </row>
    <row r="717" spans="1:17" x14ac:dyDescent="0.2">
      <c r="A717" s="2">
        <v>45719</v>
      </c>
      <c r="B717" s="3" t="s">
        <v>903</v>
      </c>
      <c r="C717" s="3" t="s">
        <v>33</v>
      </c>
      <c r="D717" s="3" t="s">
        <v>28</v>
      </c>
      <c r="E717" s="3" t="s">
        <v>15</v>
      </c>
      <c r="F717" s="3" t="s">
        <v>50</v>
      </c>
      <c r="G717" s="3" t="s">
        <v>21</v>
      </c>
      <c r="H717" s="3">
        <v>38197</v>
      </c>
      <c r="I717" s="3">
        <v>895</v>
      </c>
      <c r="J717" s="3">
        <v>6</v>
      </c>
      <c r="K717" s="12">
        <v>906.09</v>
      </c>
      <c r="L717" s="9">
        <v>48.76</v>
      </c>
      <c r="M717" s="16">
        <f t="shared" si="55"/>
        <v>2.343115951514517E-2</v>
      </c>
      <c r="N717" s="18">
        <f t="shared" si="56"/>
        <v>6.7039106145251395E-3</v>
      </c>
      <c r="O717" s="8">
        <f t="shared" si="57"/>
        <v>151.01500000000001</v>
      </c>
      <c r="P717" s="14">
        <f t="shared" si="58"/>
        <v>-857.33</v>
      </c>
      <c r="Q717" s="16">
        <f t="shared" si="59"/>
        <v>-0.94618636117824939</v>
      </c>
    </row>
    <row r="718" spans="1:17" x14ac:dyDescent="0.2">
      <c r="A718" s="2">
        <v>45720</v>
      </c>
      <c r="B718" s="3" t="s">
        <v>904</v>
      </c>
      <c r="C718" s="3" t="s">
        <v>45</v>
      </c>
      <c r="D718" s="3" t="s">
        <v>46</v>
      </c>
      <c r="E718" s="3" t="s">
        <v>20</v>
      </c>
      <c r="F718" s="3" t="s">
        <v>47</v>
      </c>
      <c r="G718" s="3" t="s">
        <v>17</v>
      </c>
      <c r="H718" s="3">
        <v>16813</v>
      </c>
      <c r="I718" s="3">
        <v>688</v>
      </c>
      <c r="J718" s="3">
        <v>14</v>
      </c>
      <c r="K718" s="12">
        <v>807.32</v>
      </c>
      <c r="L718" s="9">
        <v>836.6</v>
      </c>
      <c r="M718" s="16">
        <f t="shared" si="55"/>
        <v>4.0920716112531973E-2</v>
      </c>
      <c r="N718" s="18">
        <f t="shared" si="56"/>
        <v>2.0348837209302327E-2</v>
      </c>
      <c r="O718" s="8">
        <f t="shared" si="57"/>
        <v>57.665714285714287</v>
      </c>
      <c r="P718" s="14">
        <f t="shared" si="58"/>
        <v>29.279999999999973</v>
      </c>
      <c r="Q718" s="16">
        <f t="shared" si="59"/>
        <v>3.6268146459891952E-2</v>
      </c>
    </row>
    <row r="719" spans="1:17" x14ac:dyDescent="0.2">
      <c r="A719" s="2">
        <v>45720</v>
      </c>
      <c r="B719" s="3" t="s">
        <v>385</v>
      </c>
      <c r="C719" s="3" t="s">
        <v>120</v>
      </c>
      <c r="D719" s="3" t="s">
        <v>14</v>
      </c>
      <c r="E719" s="3" t="s">
        <v>31</v>
      </c>
      <c r="F719" s="3" t="s">
        <v>29</v>
      </c>
      <c r="G719" s="3" t="s">
        <v>17</v>
      </c>
      <c r="H719" s="3">
        <v>10394</v>
      </c>
      <c r="I719" s="3">
        <v>533</v>
      </c>
      <c r="J719" s="3">
        <v>19</v>
      </c>
      <c r="K719" s="12">
        <v>1240.28</v>
      </c>
      <c r="L719" s="9">
        <v>1897.47</v>
      </c>
      <c r="M719" s="16">
        <f t="shared" si="55"/>
        <v>5.127958437560131E-2</v>
      </c>
      <c r="N719" s="18">
        <f t="shared" si="56"/>
        <v>3.5647279549718573E-2</v>
      </c>
      <c r="O719" s="8">
        <f t="shared" si="57"/>
        <v>65.2778947368421</v>
      </c>
      <c r="P719" s="14">
        <f t="shared" si="58"/>
        <v>657.19</v>
      </c>
      <c r="Q719" s="16">
        <f t="shared" si="59"/>
        <v>0.5298722869029574</v>
      </c>
    </row>
    <row r="720" spans="1:17" x14ac:dyDescent="0.2">
      <c r="A720" s="2">
        <v>45720</v>
      </c>
      <c r="B720" s="3" t="s">
        <v>109</v>
      </c>
      <c r="C720" s="3" t="s">
        <v>13</v>
      </c>
      <c r="D720" s="3" t="s">
        <v>14</v>
      </c>
      <c r="E720" s="3" t="s">
        <v>20</v>
      </c>
      <c r="F720" s="3" t="s">
        <v>16</v>
      </c>
      <c r="G720" s="3" t="s">
        <v>17</v>
      </c>
      <c r="H720" s="3">
        <v>9040</v>
      </c>
      <c r="I720" s="3">
        <v>504</v>
      </c>
      <c r="J720" s="3">
        <v>13</v>
      </c>
      <c r="K720" s="12">
        <v>907.45</v>
      </c>
      <c r="L720" s="9">
        <v>1113.76</v>
      </c>
      <c r="M720" s="16">
        <f t="shared" si="55"/>
        <v>5.575221238938053E-2</v>
      </c>
      <c r="N720" s="18">
        <f t="shared" si="56"/>
        <v>2.5793650793650792E-2</v>
      </c>
      <c r="O720" s="8">
        <f t="shared" si="57"/>
        <v>69.803846153846152</v>
      </c>
      <c r="P720" s="14">
        <f t="shared" si="58"/>
        <v>206.30999999999995</v>
      </c>
      <c r="Q720" s="16">
        <f t="shared" si="59"/>
        <v>0.22735136922144464</v>
      </c>
    </row>
    <row r="721" spans="1:17" x14ac:dyDescent="0.2">
      <c r="A721" s="2">
        <v>45720</v>
      </c>
      <c r="B721" s="3" t="s">
        <v>521</v>
      </c>
      <c r="C721" s="3" t="s">
        <v>13</v>
      </c>
      <c r="D721" s="3" t="s">
        <v>14</v>
      </c>
      <c r="E721" s="3" t="s">
        <v>31</v>
      </c>
      <c r="F721" s="3" t="s">
        <v>29</v>
      </c>
      <c r="G721" s="3" t="s">
        <v>17</v>
      </c>
      <c r="H721" s="3">
        <v>14243</v>
      </c>
      <c r="I721" s="3">
        <v>925</v>
      </c>
      <c r="J721" s="3">
        <v>42</v>
      </c>
      <c r="K721" s="12">
        <v>1696.83</v>
      </c>
      <c r="L721" s="9">
        <v>2846.96</v>
      </c>
      <c r="M721" s="16">
        <f t="shared" si="55"/>
        <v>6.4944183107491393E-2</v>
      </c>
      <c r="N721" s="18">
        <f t="shared" si="56"/>
        <v>4.5405405405405407E-2</v>
      </c>
      <c r="O721" s="8">
        <f t="shared" si="57"/>
        <v>40.400714285714287</v>
      </c>
      <c r="P721" s="14">
        <f t="shared" si="58"/>
        <v>1150.1300000000001</v>
      </c>
      <c r="Q721" s="16">
        <f t="shared" si="59"/>
        <v>0.67781097693935166</v>
      </c>
    </row>
    <row r="722" spans="1:17" x14ac:dyDescent="0.2">
      <c r="A722" s="2">
        <v>45720</v>
      </c>
      <c r="B722" s="3" t="s">
        <v>294</v>
      </c>
      <c r="C722" s="3" t="s">
        <v>156</v>
      </c>
      <c r="D722" s="3" t="s">
        <v>46</v>
      </c>
      <c r="E722" s="3" t="s">
        <v>20</v>
      </c>
      <c r="F722" s="3" t="s">
        <v>16</v>
      </c>
      <c r="G722" s="3" t="s">
        <v>21</v>
      </c>
      <c r="H722" s="3">
        <v>11962</v>
      </c>
      <c r="I722" s="3">
        <v>355</v>
      </c>
      <c r="J722" s="3">
        <v>7</v>
      </c>
      <c r="K722" s="12">
        <v>427.08</v>
      </c>
      <c r="L722" s="9">
        <v>447.11</v>
      </c>
      <c r="M722" s="16">
        <f t="shared" si="55"/>
        <v>2.9677311486373516E-2</v>
      </c>
      <c r="N722" s="18">
        <f t="shared" si="56"/>
        <v>1.9718309859154931E-2</v>
      </c>
      <c r="O722" s="8">
        <f t="shared" si="57"/>
        <v>61.011428571428567</v>
      </c>
      <c r="P722" s="14">
        <f t="shared" si="58"/>
        <v>20.03000000000003</v>
      </c>
      <c r="Q722" s="16">
        <f t="shared" si="59"/>
        <v>4.6899878242952213E-2</v>
      </c>
    </row>
    <row r="723" spans="1:17" x14ac:dyDescent="0.2">
      <c r="A723" s="2">
        <v>45720</v>
      </c>
      <c r="B723" s="3" t="s">
        <v>326</v>
      </c>
      <c r="C723" s="3" t="s">
        <v>97</v>
      </c>
      <c r="D723" s="3" t="s">
        <v>46</v>
      </c>
      <c r="E723" s="3" t="s">
        <v>31</v>
      </c>
      <c r="F723" s="3" t="s">
        <v>34</v>
      </c>
      <c r="G723" s="3" t="s">
        <v>17</v>
      </c>
      <c r="H723" s="3">
        <v>12972</v>
      </c>
      <c r="I723" s="3">
        <v>475</v>
      </c>
      <c r="J723" s="3">
        <v>14</v>
      </c>
      <c r="K723" s="12">
        <v>619.89</v>
      </c>
      <c r="L723" s="9">
        <v>1213.73</v>
      </c>
      <c r="M723" s="16">
        <f t="shared" si="55"/>
        <v>3.6617329633055813E-2</v>
      </c>
      <c r="N723" s="18">
        <f t="shared" si="56"/>
        <v>2.9473684210526315E-2</v>
      </c>
      <c r="O723" s="8">
        <f t="shared" si="57"/>
        <v>44.277857142857144</v>
      </c>
      <c r="P723" s="14">
        <f t="shared" si="58"/>
        <v>593.84</v>
      </c>
      <c r="Q723" s="16">
        <f t="shared" si="59"/>
        <v>0.95797641517043353</v>
      </c>
    </row>
    <row r="724" spans="1:17" x14ac:dyDescent="0.2">
      <c r="A724" s="2">
        <v>45721</v>
      </c>
      <c r="B724" s="3" t="s">
        <v>476</v>
      </c>
      <c r="C724" s="3" t="s">
        <v>43</v>
      </c>
      <c r="D724" s="3" t="s">
        <v>37</v>
      </c>
      <c r="E724" s="3" t="s">
        <v>31</v>
      </c>
      <c r="F724" s="3" t="s">
        <v>50</v>
      </c>
      <c r="G724" s="3" t="s">
        <v>17</v>
      </c>
      <c r="H724" s="3">
        <v>5232</v>
      </c>
      <c r="I724" s="3">
        <v>173</v>
      </c>
      <c r="J724" s="3">
        <v>3</v>
      </c>
      <c r="K724" s="12">
        <v>1255.17</v>
      </c>
      <c r="L724" s="9">
        <v>521.78</v>
      </c>
      <c r="M724" s="16">
        <f t="shared" si="55"/>
        <v>3.3065749235474007E-2</v>
      </c>
      <c r="N724" s="18">
        <f t="shared" si="56"/>
        <v>1.7341040462427744E-2</v>
      </c>
      <c r="O724" s="8">
        <f t="shared" si="57"/>
        <v>418.39000000000004</v>
      </c>
      <c r="P724" s="14">
        <f t="shared" si="58"/>
        <v>-733.3900000000001</v>
      </c>
      <c r="Q724" s="16">
        <f t="shared" si="59"/>
        <v>-0.58429535441414315</v>
      </c>
    </row>
    <row r="725" spans="1:17" x14ac:dyDescent="0.2">
      <c r="A725" s="2">
        <v>45721</v>
      </c>
      <c r="B725" s="3" t="s">
        <v>905</v>
      </c>
      <c r="C725" s="3" t="s">
        <v>49</v>
      </c>
      <c r="D725" s="3" t="s">
        <v>46</v>
      </c>
      <c r="E725" s="3" t="s">
        <v>20</v>
      </c>
      <c r="F725" s="3" t="s">
        <v>29</v>
      </c>
      <c r="G725" s="3" t="s">
        <v>17</v>
      </c>
      <c r="H725" s="3">
        <v>18943</v>
      </c>
      <c r="I725" s="3">
        <v>754</v>
      </c>
      <c r="J725" s="3">
        <v>20</v>
      </c>
      <c r="K725" s="12">
        <v>750.3</v>
      </c>
      <c r="L725" s="9">
        <v>1528.37</v>
      </c>
      <c r="M725" s="16">
        <f t="shared" si="55"/>
        <v>3.9803621390487251E-2</v>
      </c>
      <c r="N725" s="18">
        <f t="shared" si="56"/>
        <v>2.6525198938992044E-2</v>
      </c>
      <c r="O725" s="8">
        <f t="shared" si="57"/>
        <v>37.515000000000001</v>
      </c>
      <c r="P725" s="14">
        <f t="shared" si="58"/>
        <v>778.06999999999994</v>
      </c>
      <c r="Q725" s="16">
        <f t="shared" si="59"/>
        <v>1.037011861921898</v>
      </c>
    </row>
    <row r="726" spans="1:17" x14ac:dyDescent="0.2">
      <c r="A726" s="2">
        <v>45721</v>
      </c>
      <c r="B726" s="3" t="s">
        <v>56</v>
      </c>
      <c r="C726" s="3" t="s">
        <v>23</v>
      </c>
      <c r="D726" s="3" t="s">
        <v>24</v>
      </c>
      <c r="E726" s="3" t="s">
        <v>31</v>
      </c>
      <c r="F726" s="3" t="s">
        <v>29</v>
      </c>
      <c r="G726" s="3" t="s">
        <v>17</v>
      </c>
      <c r="H726" s="3">
        <v>1809</v>
      </c>
      <c r="I726" s="3">
        <v>227</v>
      </c>
      <c r="J726" s="3">
        <v>30</v>
      </c>
      <c r="K726" s="12">
        <v>95.11</v>
      </c>
      <c r="L726" s="9">
        <v>4106.42</v>
      </c>
      <c r="M726" s="16">
        <f t="shared" si="55"/>
        <v>0.12548369264787176</v>
      </c>
      <c r="N726" s="18">
        <f t="shared" si="56"/>
        <v>0.13215859030837004</v>
      </c>
      <c r="O726" s="8">
        <f t="shared" si="57"/>
        <v>3.1703333333333332</v>
      </c>
      <c r="P726" s="14">
        <f t="shared" si="58"/>
        <v>4011.31</v>
      </c>
      <c r="Q726" s="16">
        <f t="shared" si="59"/>
        <v>42.175481021974555</v>
      </c>
    </row>
    <row r="727" spans="1:17" x14ac:dyDescent="0.2">
      <c r="A727" s="2">
        <v>45721</v>
      </c>
      <c r="B727" s="3" t="s">
        <v>906</v>
      </c>
      <c r="C727" s="3" t="s">
        <v>19</v>
      </c>
      <c r="D727" s="3" t="s">
        <v>14</v>
      </c>
      <c r="E727" s="3" t="s">
        <v>15</v>
      </c>
      <c r="F727" s="3" t="s">
        <v>34</v>
      </c>
      <c r="G727" s="3" t="s">
        <v>17</v>
      </c>
      <c r="H727" s="3">
        <v>6050</v>
      </c>
      <c r="I727" s="3">
        <v>196</v>
      </c>
      <c r="J727" s="3">
        <v>5</v>
      </c>
      <c r="K727" s="12">
        <v>363.93</v>
      </c>
      <c r="L727" s="9">
        <v>348.29</v>
      </c>
      <c r="M727" s="16">
        <f t="shared" si="55"/>
        <v>3.239669421487603E-2</v>
      </c>
      <c r="N727" s="18">
        <f t="shared" si="56"/>
        <v>2.5510204081632654E-2</v>
      </c>
      <c r="O727" s="8">
        <f t="shared" si="57"/>
        <v>72.786000000000001</v>
      </c>
      <c r="P727" s="14">
        <f t="shared" si="58"/>
        <v>-15.639999999999986</v>
      </c>
      <c r="Q727" s="16">
        <f t="shared" si="59"/>
        <v>-4.297529744731126E-2</v>
      </c>
    </row>
    <row r="728" spans="1:17" x14ac:dyDescent="0.2">
      <c r="A728" s="2">
        <v>45721</v>
      </c>
      <c r="B728" s="3" t="s">
        <v>907</v>
      </c>
      <c r="C728" s="3" t="s">
        <v>52</v>
      </c>
      <c r="D728" s="3" t="s">
        <v>24</v>
      </c>
      <c r="E728" s="3" t="s">
        <v>20</v>
      </c>
      <c r="F728" s="3" t="s">
        <v>50</v>
      </c>
      <c r="G728" s="3" t="s">
        <v>21</v>
      </c>
      <c r="H728" s="3">
        <v>3594</v>
      </c>
      <c r="I728" s="3">
        <v>301</v>
      </c>
      <c r="J728" s="3">
        <v>48</v>
      </c>
      <c r="K728" s="12">
        <v>84.96</v>
      </c>
      <c r="L728" s="9">
        <v>4739.95</v>
      </c>
      <c r="M728" s="16">
        <f t="shared" si="55"/>
        <v>8.3750695603784078E-2</v>
      </c>
      <c r="N728" s="18">
        <f t="shared" si="56"/>
        <v>0.15946843853820597</v>
      </c>
      <c r="O728" s="8">
        <f t="shared" si="57"/>
        <v>1.7699999999999998</v>
      </c>
      <c r="P728" s="14">
        <f t="shared" si="58"/>
        <v>4654.99</v>
      </c>
      <c r="Q728" s="16">
        <f t="shared" si="59"/>
        <v>54.790371939736346</v>
      </c>
    </row>
    <row r="729" spans="1:17" x14ac:dyDescent="0.2">
      <c r="A729" s="2">
        <v>45721</v>
      </c>
      <c r="B729" s="3" t="s">
        <v>319</v>
      </c>
      <c r="C729" s="3" t="s">
        <v>33</v>
      </c>
      <c r="D729" s="3" t="s">
        <v>28</v>
      </c>
      <c r="E729" s="3" t="s">
        <v>20</v>
      </c>
      <c r="F729" s="3" t="s">
        <v>47</v>
      </c>
      <c r="G729" s="3" t="s">
        <v>17</v>
      </c>
      <c r="H729" s="3">
        <v>16875</v>
      </c>
      <c r="I729" s="3">
        <v>368</v>
      </c>
      <c r="J729" s="3">
        <v>4</v>
      </c>
      <c r="K729" s="12">
        <v>389.82</v>
      </c>
      <c r="L729" s="9">
        <v>315.11</v>
      </c>
      <c r="M729" s="16">
        <f t="shared" si="55"/>
        <v>2.1807407407407407E-2</v>
      </c>
      <c r="N729" s="18">
        <f t="shared" si="56"/>
        <v>1.0869565217391304E-2</v>
      </c>
      <c r="O729" s="8">
        <f t="shared" si="57"/>
        <v>97.454999999999998</v>
      </c>
      <c r="P729" s="14">
        <f t="shared" si="58"/>
        <v>-74.70999999999998</v>
      </c>
      <c r="Q729" s="16">
        <f t="shared" si="59"/>
        <v>-0.19165255759068284</v>
      </c>
    </row>
    <row r="730" spans="1:17" x14ac:dyDescent="0.2">
      <c r="A730" s="2">
        <v>45721</v>
      </c>
      <c r="B730" s="3" t="s">
        <v>234</v>
      </c>
      <c r="C730" s="3" t="s">
        <v>58</v>
      </c>
      <c r="D730" s="3" t="s">
        <v>37</v>
      </c>
      <c r="E730" s="3" t="s">
        <v>15</v>
      </c>
      <c r="F730" s="3" t="s">
        <v>47</v>
      </c>
      <c r="G730" s="3" t="s">
        <v>17</v>
      </c>
      <c r="H730" s="3">
        <v>3519</v>
      </c>
      <c r="I730" s="3">
        <v>153</v>
      </c>
      <c r="J730" s="3">
        <v>1</v>
      </c>
      <c r="K730" s="12">
        <v>1075.73</v>
      </c>
      <c r="L730" s="9">
        <v>110.52</v>
      </c>
      <c r="M730" s="16">
        <f t="shared" si="55"/>
        <v>4.3478260869565216E-2</v>
      </c>
      <c r="N730" s="18">
        <f t="shared" si="56"/>
        <v>6.5359477124183009E-3</v>
      </c>
      <c r="O730" s="8">
        <f t="shared" si="57"/>
        <v>1075.73</v>
      </c>
      <c r="P730" s="14">
        <f t="shared" si="58"/>
        <v>-965.21</v>
      </c>
      <c r="Q730" s="16">
        <f t="shared" si="59"/>
        <v>-0.89726046498656731</v>
      </c>
    </row>
    <row r="731" spans="1:17" x14ac:dyDescent="0.2">
      <c r="A731" s="2">
        <v>45721</v>
      </c>
      <c r="B731" s="3" t="s">
        <v>360</v>
      </c>
      <c r="C731" s="3" t="s">
        <v>36</v>
      </c>
      <c r="D731" s="3" t="s">
        <v>37</v>
      </c>
      <c r="E731" s="3" t="s">
        <v>20</v>
      </c>
      <c r="F731" s="3" t="s">
        <v>34</v>
      </c>
      <c r="G731" s="3" t="s">
        <v>21</v>
      </c>
      <c r="H731" s="3">
        <v>4145</v>
      </c>
      <c r="I731" s="3">
        <v>173</v>
      </c>
      <c r="J731" s="3">
        <v>4</v>
      </c>
      <c r="K731" s="12">
        <v>1026.8599999999999</v>
      </c>
      <c r="L731" s="9">
        <v>473.16</v>
      </c>
      <c r="M731" s="16">
        <f t="shared" si="55"/>
        <v>4.1737032569360677E-2</v>
      </c>
      <c r="N731" s="18">
        <f t="shared" si="56"/>
        <v>2.3121387283236993E-2</v>
      </c>
      <c r="O731" s="8">
        <f t="shared" si="57"/>
        <v>256.71499999999997</v>
      </c>
      <c r="P731" s="14">
        <f t="shared" si="58"/>
        <v>-553.69999999999982</v>
      </c>
      <c r="Q731" s="16">
        <f t="shared" si="59"/>
        <v>-0.53921664102214506</v>
      </c>
    </row>
    <row r="732" spans="1:17" x14ac:dyDescent="0.2">
      <c r="A732" s="2">
        <v>45722</v>
      </c>
      <c r="B732" s="3" t="s">
        <v>94</v>
      </c>
      <c r="C732" s="3" t="s">
        <v>36</v>
      </c>
      <c r="D732" s="3" t="s">
        <v>37</v>
      </c>
      <c r="E732" s="3" t="s">
        <v>31</v>
      </c>
      <c r="F732" s="3" t="s">
        <v>34</v>
      </c>
      <c r="G732" s="3" t="s">
        <v>17</v>
      </c>
      <c r="H732" s="3">
        <v>2438</v>
      </c>
      <c r="I732" s="3">
        <v>126</v>
      </c>
      <c r="J732" s="3">
        <v>4</v>
      </c>
      <c r="K732" s="12">
        <v>638.54999999999995</v>
      </c>
      <c r="L732" s="9">
        <v>797.31</v>
      </c>
      <c r="M732" s="16">
        <f t="shared" si="55"/>
        <v>5.1681706316652996E-2</v>
      </c>
      <c r="N732" s="18">
        <f t="shared" si="56"/>
        <v>3.1746031746031744E-2</v>
      </c>
      <c r="O732" s="8">
        <f t="shared" si="57"/>
        <v>159.63749999999999</v>
      </c>
      <c r="P732" s="14">
        <f t="shared" si="58"/>
        <v>158.76</v>
      </c>
      <c r="Q732" s="16">
        <f t="shared" si="59"/>
        <v>0.24862579281183933</v>
      </c>
    </row>
    <row r="733" spans="1:17" x14ac:dyDescent="0.2">
      <c r="A733" s="2">
        <v>45722</v>
      </c>
      <c r="B733" s="3" t="s">
        <v>344</v>
      </c>
      <c r="C733" s="3" t="s">
        <v>39</v>
      </c>
      <c r="D733" s="3" t="s">
        <v>28</v>
      </c>
      <c r="E733" s="3" t="s">
        <v>20</v>
      </c>
      <c r="F733" s="3" t="s">
        <v>34</v>
      </c>
      <c r="G733" s="3" t="s">
        <v>21</v>
      </c>
      <c r="H733" s="3">
        <v>35160</v>
      </c>
      <c r="I733" s="3">
        <v>455</v>
      </c>
      <c r="J733" s="3">
        <v>7</v>
      </c>
      <c r="K733" s="12">
        <v>578.80999999999995</v>
      </c>
      <c r="L733" s="9">
        <v>321.42</v>
      </c>
      <c r="M733" s="16">
        <f t="shared" si="55"/>
        <v>1.2940841865756541E-2</v>
      </c>
      <c r="N733" s="18">
        <f t="shared" si="56"/>
        <v>1.5384615384615385E-2</v>
      </c>
      <c r="O733" s="8">
        <f t="shared" si="57"/>
        <v>82.687142857142845</v>
      </c>
      <c r="P733" s="14">
        <f t="shared" si="58"/>
        <v>-257.38999999999993</v>
      </c>
      <c r="Q733" s="16">
        <f t="shared" si="59"/>
        <v>-0.4446882396641384</v>
      </c>
    </row>
    <row r="734" spans="1:17" x14ac:dyDescent="0.2">
      <c r="A734" s="2">
        <v>45722</v>
      </c>
      <c r="B734" s="3" t="s">
        <v>210</v>
      </c>
      <c r="C734" s="3" t="s">
        <v>19</v>
      </c>
      <c r="D734" s="3" t="s">
        <v>14</v>
      </c>
      <c r="E734" s="3" t="s">
        <v>15</v>
      </c>
      <c r="F734" s="3" t="s">
        <v>34</v>
      </c>
      <c r="G734" s="3" t="s">
        <v>17</v>
      </c>
      <c r="H734" s="3">
        <v>9647</v>
      </c>
      <c r="I734" s="3">
        <v>319</v>
      </c>
      <c r="J734" s="3">
        <v>6</v>
      </c>
      <c r="K734" s="12">
        <v>508.63</v>
      </c>
      <c r="L734" s="9">
        <v>371.41</v>
      </c>
      <c r="M734" s="16">
        <f t="shared" si="55"/>
        <v>3.3067274800456098E-2</v>
      </c>
      <c r="N734" s="18">
        <f t="shared" si="56"/>
        <v>1.8808777429467086E-2</v>
      </c>
      <c r="O734" s="8">
        <f t="shared" si="57"/>
        <v>84.771666666666661</v>
      </c>
      <c r="P734" s="14">
        <f t="shared" si="58"/>
        <v>-137.21999999999997</v>
      </c>
      <c r="Q734" s="16">
        <f t="shared" si="59"/>
        <v>-0.2697835361657786</v>
      </c>
    </row>
    <row r="735" spans="1:17" x14ac:dyDescent="0.2">
      <c r="A735" s="2">
        <v>45722</v>
      </c>
      <c r="B735" s="3" t="s">
        <v>69</v>
      </c>
      <c r="C735" s="3" t="s">
        <v>43</v>
      </c>
      <c r="D735" s="3" t="s">
        <v>37</v>
      </c>
      <c r="E735" s="3" t="s">
        <v>31</v>
      </c>
      <c r="F735" s="3" t="s">
        <v>34</v>
      </c>
      <c r="G735" s="3" t="s">
        <v>17</v>
      </c>
      <c r="H735" s="3">
        <v>6373</v>
      </c>
      <c r="I735" s="3">
        <v>186</v>
      </c>
      <c r="J735" s="3">
        <v>5</v>
      </c>
      <c r="K735" s="12">
        <v>1060.72</v>
      </c>
      <c r="L735" s="9">
        <v>600.54999999999995</v>
      </c>
      <c r="M735" s="16">
        <f t="shared" si="55"/>
        <v>2.9185626863329671E-2</v>
      </c>
      <c r="N735" s="18">
        <f t="shared" si="56"/>
        <v>2.6881720430107527E-2</v>
      </c>
      <c r="O735" s="8">
        <f t="shared" si="57"/>
        <v>212.14400000000001</v>
      </c>
      <c r="P735" s="14">
        <f t="shared" si="58"/>
        <v>-460.17000000000007</v>
      </c>
      <c r="Q735" s="16">
        <f t="shared" si="59"/>
        <v>-0.43382796590994804</v>
      </c>
    </row>
    <row r="736" spans="1:17" x14ac:dyDescent="0.2">
      <c r="A736" s="2">
        <v>45722</v>
      </c>
      <c r="B736" s="3" t="s">
        <v>459</v>
      </c>
      <c r="C736" s="3" t="s">
        <v>23</v>
      </c>
      <c r="D736" s="3" t="s">
        <v>24</v>
      </c>
      <c r="E736" s="3" t="s">
        <v>20</v>
      </c>
      <c r="F736" s="3" t="s">
        <v>50</v>
      </c>
      <c r="G736" s="3" t="s">
        <v>17</v>
      </c>
      <c r="H736" s="3">
        <v>3425</v>
      </c>
      <c r="I736" s="3">
        <v>314</v>
      </c>
      <c r="J736" s="3">
        <v>23</v>
      </c>
      <c r="K736" s="12">
        <v>82.58</v>
      </c>
      <c r="L736" s="9">
        <v>2822.76</v>
      </c>
      <c r="M736" s="16">
        <f t="shared" si="55"/>
        <v>9.1678832116788317E-2</v>
      </c>
      <c r="N736" s="18">
        <f t="shared" si="56"/>
        <v>7.32484076433121E-2</v>
      </c>
      <c r="O736" s="8">
        <f t="shared" si="57"/>
        <v>3.5904347826086958</v>
      </c>
      <c r="P736" s="14">
        <f t="shared" si="58"/>
        <v>2740.1800000000003</v>
      </c>
      <c r="Q736" s="16">
        <f t="shared" si="59"/>
        <v>33.18212642286268</v>
      </c>
    </row>
    <row r="737" spans="1:17" x14ac:dyDescent="0.2">
      <c r="A737" s="2">
        <v>45722</v>
      </c>
      <c r="B737" s="3" t="s">
        <v>51</v>
      </c>
      <c r="C737" s="3" t="s">
        <v>71</v>
      </c>
      <c r="D737" s="3" t="s">
        <v>37</v>
      </c>
      <c r="E737" s="3" t="s">
        <v>20</v>
      </c>
      <c r="F737" s="3" t="s">
        <v>34</v>
      </c>
      <c r="G737" s="3" t="s">
        <v>17</v>
      </c>
      <c r="H737" s="3">
        <v>2806</v>
      </c>
      <c r="I737" s="3">
        <v>114</v>
      </c>
      <c r="J737" s="3">
        <v>2</v>
      </c>
      <c r="K737" s="12">
        <v>598.26</v>
      </c>
      <c r="L737" s="9">
        <v>260.3</v>
      </c>
      <c r="M737" s="16">
        <f t="shared" si="55"/>
        <v>4.0627227369921595E-2</v>
      </c>
      <c r="N737" s="18">
        <f t="shared" si="56"/>
        <v>1.7543859649122806E-2</v>
      </c>
      <c r="O737" s="8">
        <f t="shared" si="57"/>
        <v>299.13</v>
      </c>
      <c r="P737" s="14">
        <f t="shared" si="58"/>
        <v>-337.96</v>
      </c>
      <c r="Q737" s="16">
        <f t="shared" si="59"/>
        <v>-0.56490489085013207</v>
      </c>
    </row>
    <row r="738" spans="1:17" x14ac:dyDescent="0.2">
      <c r="A738" s="2">
        <v>45722</v>
      </c>
      <c r="B738" s="3" t="s">
        <v>253</v>
      </c>
      <c r="C738" s="3" t="s">
        <v>13</v>
      </c>
      <c r="D738" s="3" t="s">
        <v>14</v>
      </c>
      <c r="E738" s="3" t="s">
        <v>15</v>
      </c>
      <c r="F738" s="3" t="s">
        <v>34</v>
      </c>
      <c r="G738" s="3" t="s">
        <v>21</v>
      </c>
      <c r="H738" s="3">
        <v>11482</v>
      </c>
      <c r="I738" s="3">
        <v>546</v>
      </c>
      <c r="J738" s="3">
        <v>21</v>
      </c>
      <c r="K738" s="12">
        <v>1269.05</v>
      </c>
      <c r="L738" s="9">
        <v>1693.82</v>
      </c>
      <c r="M738" s="16">
        <f t="shared" si="55"/>
        <v>4.7552691168785924E-2</v>
      </c>
      <c r="N738" s="18">
        <f t="shared" si="56"/>
        <v>3.8461538461538464E-2</v>
      </c>
      <c r="O738" s="8">
        <f t="shared" si="57"/>
        <v>60.430952380952377</v>
      </c>
      <c r="P738" s="14">
        <f t="shared" si="58"/>
        <v>424.77</v>
      </c>
      <c r="Q738" s="16">
        <f t="shared" si="59"/>
        <v>0.33471494424963555</v>
      </c>
    </row>
    <row r="739" spans="1:17" x14ac:dyDescent="0.2">
      <c r="A739" s="2">
        <v>45722</v>
      </c>
      <c r="B739" s="3" t="s">
        <v>452</v>
      </c>
      <c r="C739" s="3" t="s">
        <v>120</v>
      </c>
      <c r="D739" s="3" t="s">
        <v>14</v>
      </c>
      <c r="E739" s="3" t="s">
        <v>20</v>
      </c>
      <c r="F739" s="3" t="s">
        <v>50</v>
      </c>
      <c r="G739" s="3" t="s">
        <v>21</v>
      </c>
      <c r="H739" s="3">
        <v>13819</v>
      </c>
      <c r="I739" s="3">
        <v>580</v>
      </c>
      <c r="J739" s="3">
        <v>20</v>
      </c>
      <c r="K739" s="12">
        <v>1147.8</v>
      </c>
      <c r="L739" s="9">
        <v>1274.0999999999999</v>
      </c>
      <c r="M739" s="16">
        <f t="shared" si="55"/>
        <v>4.1971199073739057E-2</v>
      </c>
      <c r="N739" s="18">
        <f t="shared" si="56"/>
        <v>3.4482758620689655E-2</v>
      </c>
      <c r="O739" s="8">
        <f t="shared" si="57"/>
        <v>57.39</v>
      </c>
      <c r="P739" s="14">
        <f t="shared" si="58"/>
        <v>126.29999999999995</v>
      </c>
      <c r="Q739" s="16">
        <f t="shared" si="59"/>
        <v>0.11003659174072135</v>
      </c>
    </row>
    <row r="740" spans="1:17" x14ac:dyDescent="0.2">
      <c r="A740" s="2">
        <v>45722</v>
      </c>
      <c r="B740" s="3" t="s">
        <v>240</v>
      </c>
      <c r="C740" s="3" t="s">
        <v>27</v>
      </c>
      <c r="D740" s="3" t="s">
        <v>28</v>
      </c>
      <c r="E740" s="3" t="s">
        <v>15</v>
      </c>
      <c r="F740" s="3" t="s">
        <v>34</v>
      </c>
      <c r="G740" s="3" t="s">
        <v>17</v>
      </c>
      <c r="H740" s="3">
        <v>28372</v>
      </c>
      <c r="I740" s="3">
        <v>730</v>
      </c>
      <c r="J740" s="3">
        <v>4</v>
      </c>
      <c r="K740" s="12">
        <v>585.44000000000005</v>
      </c>
      <c r="L740" s="9">
        <v>299.25</v>
      </c>
      <c r="M740" s="16">
        <f t="shared" si="55"/>
        <v>2.5729592556041167E-2</v>
      </c>
      <c r="N740" s="18">
        <f t="shared" si="56"/>
        <v>5.4794520547945206E-3</v>
      </c>
      <c r="O740" s="8">
        <f t="shared" si="57"/>
        <v>146.36000000000001</v>
      </c>
      <c r="P740" s="14">
        <f t="shared" si="58"/>
        <v>-286.19000000000005</v>
      </c>
      <c r="Q740" s="16">
        <f t="shared" si="59"/>
        <v>-0.48884599617381802</v>
      </c>
    </row>
    <row r="741" spans="1:17" x14ac:dyDescent="0.2">
      <c r="A741" s="2">
        <v>45722</v>
      </c>
      <c r="B741" s="3" t="s">
        <v>908</v>
      </c>
      <c r="C741" s="3" t="s">
        <v>120</v>
      </c>
      <c r="D741" s="3" t="s">
        <v>14</v>
      </c>
      <c r="E741" s="3" t="s">
        <v>20</v>
      </c>
      <c r="F741" s="3" t="s">
        <v>16</v>
      </c>
      <c r="G741" s="3" t="s">
        <v>21</v>
      </c>
      <c r="H741" s="3">
        <v>6969</v>
      </c>
      <c r="I741" s="3">
        <v>240</v>
      </c>
      <c r="J741" s="3">
        <v>7</v>
      </c>
      <c r="K741" s="12">
        <v>494.64</v>
      </c>
      <c r="L741" s="9">
        <v>728.45</v>
      </c>
      <c r="M741" s="16">
        <f t="shared" si="55"/>
        <v>3.4438226431338786E-2</v>
      </c>
      <c r="N741" s="18">
        <f t="shared" si="56"/>
        <v>2.9166666666666667E-2</v>
      </c>
      <c r="O741" s="8">
        <f t="shared" si="57"/>
        <v>70.662857142857135</v>
      </c>
      <c r="P741" s="14">
        <f t="shared" si="58"/>
        <v>233.81000000000006</v>
      </c>
      <c r="Q741" s="16">
        <f t="shared" si="59"/>
        <v>0.47268720685751264</v>
      </c>
    </row>
    <row r="742" spans="1:17" x14ac:dyDescent="0.2">
      <c r="A742" s="2">
        <v>45722</v>
      </c>
      <c r="B742" s="3" t="s">
        <v>909</v>
      </c>
      <c r="C742" s="3" t="s">
        <v>120</v>
      </c>
      <c r="D742" s="3" t="s">
        <v>14</v>
      </c>
      <c r="E742" s="3" t="s">
        <v>15</v>
      </c>
      <c r="F742" s="3" t="s">
        <v>34</v>
      </c>
      <c r="G742" s="3" t="s">
        <v>17</v>
      </c>
      <c r="H742" s="3">
        <v>11215</v>
      </c>
      <c r="I742" s="3">
        <v>474</v>
      </c>
      <c r="J742" s="3">
        <v>13</v>
      </c>
      <c r="K742" s="12">
        <v>1239.4100000000001</v>
      </c>
      <c r="L742" s="9">
        <v>1404.86</v>
      </c>
      <c r="M742" s="16">
        <f t="shared" si="55"/>
        <v>4.2264823896567098E-2</v>
      </c>
      <c r="N742" s="18">
        <f t="shared" si="56"/>
        <v>2.7426160337552744E-2</v>
      </c>
      <c r="O742" s="8">
        <f t="shared" si="57"/>
        <v>95.339230769230781</v>
      </c>
      <c r="P742" s="14">
        <f t="shared" si="58"/>
        <v>165.44999999999982</v>
      </c>
      <c r="Q742" s="16">
        <f t="shared" si="59"/>
        <v>0.13349093520304001</v>
      </c>
    </row>
    <row r="743" spans="1:17" x14ac:dyDescent="0.2">
      <c r="A743" s="2">
        <v>45722</v>
      </c>
      <c r="B743" s="3" t="s">
        <v>495</v>
      </c>
      <c r="C743" s="3" t="s">
        <v>13</v>
      </c>
      <c r="D743" s="3" t="s">
        <v>14</v>
      </c>
      <c r="E743" s="3" t="s">
        <v>20</v>
      </c>
      <c r="F743" s="3" t="s">
        <v>16</v>
      </c>
      <c r="G743" s="3" t="s">
        <v>17</v>
      </c>
      <c r="H743" s="3">
        <v>14192</v>
      </c>
      <c r="I743" s="3">
        <v>569</v>
      </c>
      <c r="J743" s="3">
        <v>20</v>
      </c>
      <c r="K743" s="12">
        <v>1414.89</v>
      </c>
      <c r="L743" s="9">
        <v>2255.31</v>
      </c>
      <c r="M743" s="16">
        <f t="shared" si="55"/>
        <v>4.0093010146561442E-2</v>
      </c>
      <c r="N743" s="18">
        <f t="shared" si="56"/>
        <v>3.5149384885764502E-2</v>
      </c>
      <c r="O743" s="8">
        <f t="shared" si="57"/>
        <v>70.744500000000002</v>
      </c>
      <c r="P743" s="14">
        <f t="shared" si="58"/>
        <v>840.41999999999985</v>
      </c>
      <c r="Q743" s="16">
        <f t="shared" si="59"/>
        <v>0.59398257108326424</v>
      </c>
    </row>
    <row r="744" spans="1:17" x14ac:dyDescent="0.2">
      <c r="A744" s="2">
        <v>45722</v>
      </c>
      <c r="B744" s="3" t="s">
        <v>353</v>
      </c>
      <c r="C744" s="3" t="s">
        <v>23</v>
      </c>
      <c r="D744" s="3" t="s">
        <v>24</v>
      </c>
      <c r="E744" s="3" t="s">
        <v>15</v>
      </c>
      <c r="F744" s="3" t="s">
        <v>50</v>
      </c>
      <c r="G744" s="3" t="s">
        <v>17</v>
      </c>
      <c r="H744" s="3">
        <v>1416</v>
      </c>
      <c r="I744" s="3">
        <v>205</v>
      </c>
      <c r="J744" s="3">
        <v>20</v>
      </c>
      <c r="K744" s="12">
        <v>103.59</v>
      </c>
      <c r="L744" s="9">
        <v>1636.72</v>
      </c>
      <c r="M744" s="16">
        <f t="shared" si="55"/>
        <v>0.14477401129943504</v>
      </c>
      <c r="N744" s="18">
        <f t="shared" si="56"/>
        <v>9.7560975609756101E-2</v>
      </c>
      <c r="O744" s="8">
        <f t="shared" si="57"/>
        <v>5.1795</v>
      </c>
      <c r="P744" s="14">
        <f t="shared" si="58"/>
        <v>1533.13</v>
      </c>
      <c r="Q744" s="16">
        <f t="shared" si="59"/>
        <v>14.799980693117098</v>
      </c>
    </row>
    <row r="745" spans="1:17" x14ac:dyDescent="0.2">
      <c r="A745" s="2">
        <v>45723</v>
      </c>
      <c r="B745" s="3" t="s">
        <v>526</v>
      </c>
      <c r="C745" s="3" t="s">
        <v>54</v>
      </c>
      <c r="D745" s="3" t="s">
        <v>14</v>
      </c>
      <c r="E745" s="3" t="s">
        <v>31</v>
      </c>
      <c r="F745" s="3" t="s">
        <v>50</v>
      </c>
      <c r="G745" s="3" t="s">
        <v>17</v>
      </c>
      <c r="H745" s="3">
        <v>12513</v>
      </c>
      <c r="I745" s="3">
        <v>771</v>
      </c>
      <c r="J745" s="3">
        <v>32</v>
      </c>
      <c r="K745" s="12">
        <v>2411.04</v>
      </c>
      <c r="L745" s="9">
        <v>2901.45</v>
      </c>
      <c r="M745" s="16">
        <f t="shared" si="55"/>
        <v>6.161591944377847E-2</v>
      </c>
      <c r="N745" s="18">
        <f t="shared" si="56"/>
        <v>4.1504539559014265E-2</v>
      </c>
      <c r="O745" s="8">
        <f t="shared" si="57"/>
        <v>75.344999999999999</v>
      </c>
      <c r="P745" s="14">
        <f t="shared" si="58"/>
        <v>490.40999999999985</v>
      </c>
      <c r="Q745" s="16">
        <f t="shared" si="59"/>
        <v>0.20340185148317733</v>
      </c>
    </row>
    <row r="746" spans="1:17" x14ac:dyDescent="0.2">
      <c r="A746" s="2">
        <v>45723</v>
      </c>
      <c r="B746" s="3" t="s">
        <v>93</v>
      </c>
      <c r="C746" s="3" t="s">
        <v>13</v>
      </c>
      <c r="D746" s="3" t="s">
        <v>14</v>
      </c>
      <c r="E746" s="3" t="s">
        <v>31</v>
      </c>
      <c r="F746" s="3" t="s">
        <v>47</v>
      </c>
      <c r="G746" s="3" t="s">
        <v>17</v>
      </c>
      <c r="H746" s="3">
        <v>12639</v>
      </c>
      <c r="I746" s="3">
        <v>902</v>
      </c>
      <c r="J746" s="3">
        <v>48</v>
      </c>
      <c r="K746" s="12">
        <v>1575.6</v>
      </c>
      <c r="L746" s="9">
        <v>3378.12</v>
      </c>
      <c r="M746" s="16">
        <f t="shared" si="55"/>
        <v>7.1366405570060923E-2</v>
      </c>
      <c r="N746" s="18">
        <f t="shared" si="56"/>
        <v>5.3215077605321508E-2</v>
      </c>
      <c r="O746" s="8">
        <f t="shared" si="57"/>
        <v>32.824999999999996</v>
      </c>
      <c r="P746" s="14">
        <f t="shared" si="58"/>
        <v>1802.52</v>
      </c>
      <c r="Q746" s="16">
        <f t="shared" si="59"/>
        <v>1.144021325209444</v>
      </c>
    </row>
    <row r="747" spans="1:17" x14ac:dyDescent="0.2">
      <c r="A747" s="2">
        <v>45723</v>
      </c>
      <c r="B747" s="3" t="s">
        <v>910</v>
      </c>
      <c r="C747" s="3" t="s">
        <v>156</v>
      </c>
      <c r="D747" s="3" t="s">
        <v>46</v>
      </c>
      <c r="E747" s="3" t="s">
        <v>31</v>
      </c>
      <c r="F747" s="3" t="s">
        <v>47</v>
      </c>
      <c r="G747" s="3" t="s">
        <v>21</v>
      </c>
      <c r="H747" s="3">
        <v>10343</v>
      </c>
      <c r="I747" s="3">
        <v>434</v>
      </c>
      <c r="J747" s="3">
        <v>19</v>
      </c>
      <c r="K747" s="12">
        <v>552.95000000000005</v>
      </c>
      <c r="L747" s="9">
        <v>1541.32</v>
      </c>
      <c r="M747" s="16">
        <f t="shared" si="55"/>
        <v>4.196074639853041E-2</v>
      </c>
      <c r="N747" s="18">
        <f t="shared" si="56"/>
        <v>4.377880184331797E-2</v>
      </c>
      <c r="O747" s="8">
        <f t="shared" si="57"/>
        <v>29.102631578947371</v>
      </c>
      <c r="P747" s="14">
        <f t="shared" si="58"/>
        <v>988.36999999999989</v>
      </c>
      <c r="Q747" s="16">
        <f t="shared" si="59"/>
        <v>1.7874491364499498</v>
      </c>
    </row>
    <row r="748" spans="1:17" x14ac:dyDescent="0.2">
      <c r="A748" s="2">
        <v>45723</v>
      </c>
      <c r="B748" s="3" t="s">
        <v>333</v>
      </c>
      <c r="C748" s="3" t="s">
        <v>97</v>
      </c>
      <c r="D748" s="3" t="s">
        <v>46</v>
      </c>
      <c r="E748" s="3" t="s">
        <v>31</v>
      </c>
      <c r="F748" s="3" t="s">
        <v>29</v>
      </c>
      <c r="G748" s="3" t="s">
        <v>21</v>
      </c>
      <c r="H748" s="3">
        <v>14029</v>
      </c>
      <c r="I748" s="3">
        <v>583</v>
      </c>
      <c r="J748" s="3">
        <v>24</v>
      </c>
      <c r="K748" s="12">
        <v>827.44</v>
      </c>
      <c r="L748" s="9">
        <v>1692.76</v>
      </c>
      <c r="M748" s="16">
        <f t="shared" si="55"/>
        <v>4.1556775251265235E-2</v>
      </c>
      <c r="N748" s="18">
        <f t="shared" si="56"/>
        <v>4.1166380789022301E-2</v>
      </c>
      <c r="O748" s="8">
        <f t="shared" si="57"/>
        <v>34.476666666666667</v>
      </c>
      <c r="P748" s="14">
        <f t="shared" si="58"/>
        <v>865.31999999999994</v>
      </c>
      <c r="Q748" s="16">
        <f t="shared" si="59"/>
        <v>1.0457797544232812</v>
      </c>
    </row>
    <row r="749" spans="1:17" x14ac:dyDescent="0.2">
      <c r="A749" s="2">
        <v>45723</v>
      </c>
      <c r="B749" s="3" t="s">
        <v>911</v>
      </c>
      <c r="C749" s="3" t="s">
        <v>33</v>
      </c>
      <c r="D749" s="3" t="s">
        <v>28</v>
      </c>
      <c r="E749" s="3" t="s">
        <v>20</v>
      </c>
      <c r="F749" s="3" t="s">
        <v>47</v>
      </c>
      <c r="G749" s="3" t="s">
        <v>17</v>
      </c>
      <c r="H749" s="3">
        <v>27990</v>
      </c>
      <c r="I749" s="3">
        <v>783</v>
      </c>
      <c r="J749" s="3">
        <v>5</v>
      </c>
      <c r="K749" s="12">
        <v>681.07</v>
      </c>
      <c r="L749" s="9">
        <v>378.5</v>
      </c>
      <c r="M749" s="16">
        <f t="shared" si="55"/>
        <v>2.7974276527331188E-2</v>
      </c>
      <c r="N749" s="18">
        <f t="shared" si="56"/>
        <v>6.3856960408684551E-3</v>
      </c>
      <c r="O749" s="8">
        <f t="shared" si="57"/>
        <v>136.214</v>
      </c>
      <c r="P749" s="14">
        <f t="shared" si="58"/>
        <v>-302.57000000000005</v>
      </c>
      <c r="Q749" s="16">
        <f t="shared" si="59"/>
        <v>-0.44425683116272929</v>
      </c>
    </row>
    <row r="750" spans="1:17" x14ac:dyDescent="0.2">
      <c r="A750" s="2">
        <v>45723</v>
      </c>
      <c r="B750" s="3" t="s">
        <v>912</v>
      </c>
      <c r="C750" s="3" t="s">
        <v>13</v>
      </c>
      <c r="D750" s="3" t="s">
        <v>14</v>
      </c>
      <c r="E750" s="3" t="s">
        <v>31</v>
      </c>
      <c r="F750" s="3" t="s">
        <v>29</v>
      </c>
      <c r="G750" s="3" t="s">
        <v>17</v>
      </c>
      <c r="H750" s="3">
        <v>5122</v>
      </c>
      <c r="I750" s="3">
        <v>227</v>
      </c>
      <c r="J750" s="3">
        <v>10</v>
      </c>
      <c r="K750" s="12">
        <v>0</v>
      </c>
      <c r="L750" s="9">
        <v>957.82</v>
      </c>
      <c r="M750" s="16">
        <f t="shared" si="55"/>
        <v>4.431862553689965E-2</v>
      </c>
      <c r="N750" s="18">
        <f t="shared" si="56"/>
        <v>4.405286343612335E-2</v>
      </c>
      <c r="O750" s="8">
        <f t="shared" si="57"/>
        <v>0</v>
      </c>
      <c r="P750" s="14">
        <f t="shared" si="58"/>
        <v>957.82</v>
      </c>
      <c r="Q750" s="16">
        <f t="shared" si="59"/>
        <v>0</v>
      </c>
    </row>
    <row r="751" spans="1:17" x14ac:dyDescent="0.2">
      <c r="A751" s="2">
        <v>45723</v>
      </c>
      <c r="B751" s="3" t="s">
        <v>913</v>
      </c>
      <c r="C751" s="3" t="s">
        <v>58</v>
      </c>
      <c r="D751" s="3" t="s">
        <v>37</v>
      </c>
      <c r="E751" s="3" t="s">
        <v>20</v>
      </c>
      <c r="F751" s="3" t="s">
        <v>34</v>
      </c>
      <c r="G751" s="3" t="s">
        <v>21</v>
      </c>
      <c r="H751" s="3">
        <v>4435</v>
      </c>
      <c r="I751" s="3">
        <v>120</v>
      </c>
      <c r="J751" s="3">
        <v>1</v>
      </c>
      <c r="K751" s="12">
        <v>736.5</v>
      </c>
      <c r="L751" s="9">
        <v>33.369999999999997</v>
      </c>
      <c r="M751" s="16">
        <f t="shared" si="55"/>
        <v>2.7057497181510709E-2</v>
      </c>
      <c r="N751" s="18">
        <f t="shared" si="56"/>
        <v>8.3333333333333332E-3</v>
      </c>
      <c r="O751" s="8">
        <f t="shared" si="57"/>
        <v>736.5</v>
      </c>
      <c r="P751" s="14">
        <f t="shared" si="58"/>
        <v>-703.13</v>
      </c>
      <c r="Q751" s="16">
        <f t="shared" si="59"/>
        <v>-0.95469110658520029</v>
      </c>
    </row>
    <row r="752" spans="1:17" x14ac:dyDescent="0.2">
      <c r="A752" s="2">
        <v>45723</v>
      </c>
      <c r="B752" s="3" t="s">
        <v>914</v>
      </c>
      <c r="C752" s="3" t="s">
        <v>43</v>
      </c>
      <c r="D752" s="3" t="s">
        <v>37</v>
      </c>
      <c r="E752" s="3" t="s">
        <v>20</v>
      </c>
      <c r="F752" s="3" t="s">
        <v>50</v>
      </c>
      <c r="G752" s="3" t="s">
        <v>17</v>
      </c>
      <c r="H752" s="3">
        <v>5983</v>
      </c>
      <c r="I752" s="3">
        <v>331</v>
      </c>
      <c r="J752" s="3">
        <v>7</v>
      </c>
      <c r="K752" s="12">
        <v>2673.81</v>
      </c>
      <c r="L752" s="9">
        <v>1057.6099999999999</v>
      </c>
      <c r="M752" s="16">
        <f t="shared" si="55"/>
        <v>5.5323416346314561E-2</v>
      </c>
      <c r="N752" s="18">
        <f t="shared" si="56"/>
        <v>2.1148036253776436E-2</v>
      </c>
      <c r="O752" s="8">
        <f t="shared" si="57"/>
        <v>381.97285714285715</v>
      </c>
      <c r="P752" s="14">
        <f t="shared" si="58"/>
        <v>-1616.2</v>
      </c>
      <c r="Q752" s="16">
        <f t="shared" si="59"/>
        <v>-0.60445581398827897</v>
      </c>
    </row>
    <row r="753" spans="1:17" x14ac:dyDescent="0.2">
      <c r="A753" s="2">
        <v>45723</v>
      </c>
      <c r="B753" s="3" t="s">
        <v>915</v>
      </c>
      <c r="C753" s="3" t="s">
        <v>54</v>
      </c>
      <c r="D753" s="3" t="s">
        <v>14</v>
      </c>
      <c r="E753" s="3" t="s">
        <v>20</v>
      </c>
      <c r="F753" s="3" t="s">
        <v>47</v>
      </c>
      <c r="G753" s="3" t="s">
        <v>17</v>
      </c>
      <c r="H753" s="3">
        <v>8745</v>
      </c>
      <c r="I753" s="3">
        <v>324</v>
      </c>
      <c r="J753" s="3">
        <v>12</v>
      </c>
      <c r="K753" s="12">
        <v>784.88</v>
      </c>
      <c r="L753" s="9">
        <v>862.39</v>
      </c>
      <c r="M753" s="16">
        <f t="shared" si="55"/>
        <v>3.704974271012007E-2</v>
      </c>
      <c r="N753" s="18">
        <f t="shared" si="56"/>
        <v>3.7037037037037035E-2</v>
      </c>
      <c r="O753" s="8">
        <f t="shared" si="57"/>
        <v>65.406666666666666</v>
      </c>
      <c r="P753" s="14">
        <f t="shared" si="58"/>
        <v>77.509999999999991</v>
      </c>
      <c r="Q753" s="16">
        <f t="shared" si="59"/>
        <v>9.8753949648353878E-2</v>
      </c>
    </row>
    <row r="754" spans="1:17" x14ac:dyDescent="0.2">
      <c r="A754" s="2">
        <v>45723</v>
      </c>
      <c r="B754" s="3" t="s">
        <v>304</v>
      </c>
      <c r="C754" s="3" t="s">
        <v>33</v>
      </c>
      <c r="D754" s="3" t="s">
        <v>28</v>
      </c>
      <c r="E754" s="3" t="s">
        <v>20</v>
      </c>
      <c r="F754" s="3" t="s">
        <v>50</v>
      </c>
      <c r="G754" s="3" t="s">
        <v>21</v>
      </c>
      <c r="H754" s="3">
        <v>22172</v>
      </c>
      <c r="I754" s="3">
        <v>327</v>
      </c>
      <c r="J754" s="3">
        <v>5</v>
      </c>
      <c r="K754" s="12">
        <v>517.57000000000005</v>
      </c>
      <c r="L754" s="9">
        <v>320.62</v>
      </c>
      <c r="M754" s="16">
        <f t="shared" si="55"/>
        <v>1.4748331228576583E-2</v>
      </c>
      <c r="N754" s="18">
        <f t="shared" si="56"/>
        <v>1.5290519877675841E-2</v>
      </c>
      <c r="O754" s="8">
        <f t="shared" si="57"/>
        <v>103.51400000000001</v>
      </c>
      <c r="P754" s="14">
        <f t="shared" si="58"/>
        <v>-196.95000000000005</v>
      </c>
      <c r="Q754" s="16">
        <f t="shared" si="59"/>
        <v>-0.38052823772629796</v>
      </c>
    </row>
    <row r="755" spans="1:17" x14ac:dyDescent="0.2">
      <c r="A755" s="2">
        <v>45724</v>
      </c>
      <c r="B755" s="3" t="s">
        <v>916</v>
      </c>
      <c r="C755" s="3" t="s">
        <v>39</v>
      </c>
      <c r="D755" s="3" t="s">
        <v>28</v>
      </c>
      <c r="E755" s="3" t="s">
        <v>31</v>
      </c>
      <c r="F755" s="3" t="s">
        <v>29</v>
      </c>
      <c r="G755" s="3" t="s">
        <v>17</v>
      </c>
      <c r="H755" s="3">
        <v>32918</v>
      </c>
      <c r="I755" s="3">
        <v>1105</v>
      </c>
      <c r="J755" s="3">
        <v>10</v>
      </c>
      <c r="K755" s="12">
        <v>1331.53</v>
      </c>
      <c r="L755" s="9">
        <v>599.23</v>
      </c>
      <c r="M755" s="16">
        <f t="shared" si="55"/>
        <v>3.3568260526155899E-2</v>
      </c>
      <c r="N755" s="18">
        <f t="shared" si="56"/>
        <v>9.0497737556561094E-3</v>
      </c>
      <c r="O755" s="8">
        <f t="shared" si="57"/>
        <v>133.15299999999999</v>
      </c>
      <c r="P755" s="14">
        <f t="shared" si="58"/>
        <v>-732.3</v>
      </c>
      <c r="Q755" s="16">
        <f t="shared" si="59"/>
        <v>-0.54996883284642473</v>
      </c>
    </row>
    <row r="756" spans="1:17" x14ac:dyDescent="0.2">
      <c r="A756" s="2">
        <v>45724</v>
      </c>
      <c r="B756" s="3" t="s">
        <v>917</v>
      </c>
      <c r="C756" s="3" t="s">
        <v>58</v>
      </c>
      <c r="D756" s="3" t="s">
        <v>37</v>
      </c>
      <c r="E756" s="3" t="s">
        <v>20</v>
      </c>
      <c r="F756" s="3" t="s">
        <v>50</v>
      </c>
      <c r="G756" s="3" t="s">
        <v>17</v>
      </c>
      <c r="H756" s="3">
        <v>6128</v>
      </c>
      <c r="I756" s="3">
        <v>238</v>
      </c>
      <c r="J756" s="3">
        <v>3</v>
      </c>
      <c r="K756" s="12">
        <v>1853.43</v>
      </c>
      <c r="L756" s="9">
        <v>351.53</v>
      </c>
      <c r="M756" s="16">
        <f t="shared" si="55"/>
        <v>3.8838120104438642E-2</v>
      </c>
      <c r="N756" s="18">
        <f t="shared" si="56"/>
        <v>1.2605042016806723E-2</v>
      </c>
      <c r="O756" s="8">
        <f t="shared" si="57"/>
        <v>617.81000000000006</v>
      </c>
      <c r="P756" s="14">
        <f t="shared" si="58"/>
        <v>-1501.9</v>
      </c>
      <c r="Q756" s="16">
        <f t="shared" si="59"/>
        <v>-0.81033543214472625</v>
      </c>
    </row>
    <row r="757" spans="1:17" x14ac:dyDescent="0.2">
      <c r="A757" s="2">
        <v>45724</v>
      </c>
      <c r="B757" s="3" t="s">
        <v>418</v>
      </c>
      <c r="C757" s="3" t="s">
        <v>156</v>
      </c>
      <c r="D757" s="3" t="s">
        <v>46</v>
      </c>
      <c r="E757" s="3" t="s">
        <v>20</v>
      </c>
      <c r="F757" s="3" t="s">
        <v>50</v>
      </c>
      <c r="G757" s="3" t="s">
        <v>21</v>
      </c>
      <c r="H757" s="3">
        <v>16057</v>
      </c>
      <c r="I757" s="3">
        <v>387</v>
      </c>
      <c r="J757" s="3">
        <v>14</v>
      </c>
      <c r="K757" s="12">
        <v>769.47</v>
      </c>
      <c r="L757" s="9">
        <v>1460.4</v>
      </c>
      <c r="M757" s="16">
        <f t="shared" si="55"/>
        <v>2.4101637914928069E-2</v>
      </c>
      <c r="N757" s="18">
        <f t="shared" si="56"/>
        <v>3.6175710594315243E-2</v>
      </c>
      <c r="O757" s="8">
        <f t="shared" si="57"/>
        <v>54.962142857142858</v>
      </c>
      <c r="P757" s="14">
        <f t="shared" si="58"/>
        <v>690.93000000000006</v>
      </c>
      <c r="Q757" s="16">
        <f t="shared" si="59"/>
        <v>0.89792974384966284</v>
      </c>
    </row>
    <row r="758" spans="1:17" x14ac:dyDescent="0.2">
      <c r="A758" s="2">
        <v>45724</v>
      </c>
      <c r="B758" s="3" t="s">
        <v>918</v>
      </c>
      <c r="C758" s="3" t="s">
        <v>49</v>
      </c>
      <c r="D758" s="3" t="s">
        <v>46</v>
      </c>
      <c r="E758" s="3" t="s">
        <v>20</v>
      </c>
      <c r="F758" s="3" t="s">
        <v>34</v>
      </c>
      <c r="G758" s="3" t="s">
        <v>21</v>
      </c>
      <c r="H758" s="3">
        <v>14425</v>
      </c>
      <c r="I758" s="3">
        <v>587</v>
      </c>
      <c r="J758" s="3">
        <v>13</v>
      </c>
      <c r="K758" s="12">
        <v>750.01</v>
      </c>
      <c r="L758" s="9">
        <v>791.89</v>
      </c>
      <c r="M758" s="16">
        <f t="shared" si="55"/>
        <v>4.0693240901213172E-2</v>
      </c>
      <c r="N758" s="18">
        <f t="shared" si="56"/>
        <v>2.2146507666098807E-2</v>
      </c>
      <c r="O758" s="8">
        <f t="shared" si="57"/>
        <v>57.693076923076923</v>
      </c>
      <c r="P758" s="14">
        <f t="shared" si="58"/>
        <v>41.879999999999995</v>
      </c>
      <c r="Q758" s="16">
        <f t="shared" si="59"/>
        <v>5.5839255476593637E-2</v>
      </c>
    </row>
    <row r="759" spans="1:17" x14ac:dyDescent="0.2">
      <c r="A759" s="2">
        <v>45724</v>
      </c>
      <c r="B759" s="3" t="s">
        <v>919</v>
      </c>
      <c r="C759" s="3" t="s">
        <v>58</v>
      </c>
      <c r="D759" s="3" t="s">
        <v>37</v>
      </c>
      <c r="E759" s="3" t="s">
        <v>31</v>
      </c>
      <c r="F759" s="3" t="s">
        <v>16</v>
      </c>
      <c r="G759" s="3" t="s">
        <v>21</v>
      </c>
      <c r="H759" s="3">
        <v>5518</v>
      </c>
      <c r="I759" s="3">
        <v>126</v>
      </c>
      <c r="J759" s="3">
        <v>2</v>
      </c>
      <c r="K759" s="12">
        <v>594.12</v>
      </c>
      <c r="L759" s="9">
        <v>373.79</v>
      </c>
      <c r="M759" s="16">
        <f t="shared" si="55"/>
        <v>2.2834360275462123E-2</v>
      </c>
      <c r="N759" s="18">
        <f t="shared" si="56"/>
        <v>1.5873015873015872E-2</v>
      </c>
      <c r="O759" s="8">
        <f t="shared" si="57"/>
        <v>297.06</v>
      </c>
      <c r="P759" s="14">
        <f t="shared" si="58"/>
        <v>-220.32999999999998</v>
      </c>
      <c r="Q759" s="16">
        <f t="shared" si="59"/>
        <v>-0.37085100653066716</v>
      </c>
    </row>
    <row r="760" spans="1:17" x14ac:dyDescent="0.2">
      <c r="A760" s="2">
        <v>45724</v>
      </c>
      <c r="B760" s="3" t="s">
        <v>920</v>
      </c>
      <c r="C760" s="3" t="s">
        <v>74</v>
      </c>
      <c r="D760" s="3" t="s">
        <v>28</v>
      </c>
      <c r="E760" s="3" t="s">
        <v>20</v>
      </c>
      <c r="F760" s="3" t="s">
        <v>16</v>
      </c>
      <c r="G760" s="3" t="s">
        <v>21</v>
      </c>
      <c r="H760" s="3">
        <v>20502</v>
      </c>
      <c r="I760" s="3">
        <v>389</v>
      </c>
      <c r="J760" s="3">
        <v>3</v>
      </c>
      <c r="K760" s="12">
        <v>535.99</v>
      </c>
      <c r="L760" s="9">
        <v>192.62</v>
      </c>
      <c r="M760" s="16">
        <f t="shared" si="55"/>
        <v>1.8973758657691932E-2</v>
      </c>
      <c r="N760" s="18">
        <f t="shared" si="56"/>
        <v>7.7120822622107968E-3</v>
      </c>
      <c r="O760" s="8">
        <f t="shared" si="57"/>
        <v>178.66333333333333</v>
      </c>
      <c r="P760" s="14">
        <f t="shared" si="58"/>
        <v>-343.37</v>
      </c>
      <c r="Q760" s="16">
        <f t="shared" si="59"/>
        <v>-0.64062762364969494</v>
      </c>
    </row>
    <row r="761" spans="1:17" x14ac:dyDescent="0.2">
      <c r="A761" s="2">
        <v>45724</v>
      </c>
      <c r="B761" s="3" t="s">
        <v>921</v>
      </c>
      <c r="C761" s="3" t="s">
        <v>36</v>
      </c>
      <c r="D761" s="3" t="s">
        <v>37</v>
      </c>
      <c r="E761" s="3" t="s">
        <v>31</v>
      </c>
      <c r="F761" s="3" t="s">
        <v>50</v>
      </c>
      <c r="G761" s="3" t="s">
        <v>17</v>
      </c>
      <c r="H761" s="3">
        <v>5608</v>
      </c>
      <c r="I761" s="3">
        <v>208</v>
      </c>
      <c r="J761" s="3">
        <v>3</v>
      </c>
      <c r="K761" s="12">
        <v>1572.83</v>
      </c>
      <c r="L761" s="9">
        <v>374.52</v>
      </c>
      <c r="M761" s="16">
        <f t="shared" si="55"/>
        <v>3.7089871611982884E-2</v>
      </c>
      <c r="N761" s="18">
        <f t="shared" si="56"/>
        <v>1.4423076923076924E-2</v>
      </c>
      <c r="O761" s="8">
        <f t="shared" si="57"/>
        <v>524.27666666666664</v>
      </c>
      <c r="P761" s="14">
        <f t="shared" si="58"/>
        <v>-1198.31</v>
      </c>
      <c r="Q761" s="16">
        <f t="shared" si="59"/>
        <v>-0.7618814493619781</v>
      </c>
    </row>
    <row r="762" spans="1:17" x14ac:dyDescent="0.2">
      <c r="A762" s="2">
        <v>45724</v>
      </c>
      <c r="B762" s="3" t="s">
        <v>96</v>
      </c>
      <c r="C762" s="3" t="s">
        <v>41</v>
      </c>
      <c r="D762" s="3" t="s">
        <v>24</v>
      </c>
      <c r="E762" s="3" t="s">
        <v>20</v>
      </c>
      <c r="F762" s="3" t="s">
        <v>34</v>
      </c>
      <c r="G762" s="3" t="s">
        <v>17</v>
      </c>
      <c r="H762" s="3">
        <v>2533</v>
      </c>
      <c r="I762" s="3">
        <v>366</v>
      </c>
      <c r="J762" s="3">
        <v>51</v>
      </c>
      <c r="K762" s="12">
        <v>119.54</v>
      </c>
      <c r="L762" s="9">
        <v>5423.6</v>
      </c>
      <c r="M762" s="16">
        <f t="shared" si="55"/>
        <v>0.14449269640742202</v>
      </c>
      <c r="N762" s="18">
        <f t="shared" si="56"/>
        <v>0.13934426229508196</v>
      </c>
      <c r="O762" s="8">
        <f t="shared" si="57"/>
        <v>2.3439215686274513</v>
      </c>
      <c r="P762" s="14">
        <f t="shared" si="58"/>
        <v>5304.06</v>
      </c>
      <c r="Q762" s="16">
        <f t="shared" si="59"/>
        <v>44.370587251129329</v>
      </c>
    </row>
    <row r="763" spans="1:17" x14ac:dyDescent="0.2">
      <c r="A763" s="2">
        <v>45724</v>
      </c>
      <c r="B763" s="3" t="s">
        <v>922</v>
      </c>
      <c r="C763" s="3" t="s">
        <v>27</v>
      </c>
      <c r="D763" s="3" t="s">
        <v>28</v>
      </c>
      <c r="E763" s="3" t="s">
        <v>20</v>
      </c>
      <c r="F763" s="3" t="s">
        <v>29</v>
      </c>
      <c r="G763" s="3" t="s">
        <v>17</v>
      </c>
      <c r="H763" s="3">
        <v>22776</v>
      </c>
      <c r="I763" s="3">
        <v>452</v>
      </c>
      <c r="J763" s="3">
        <v>4</v>
      </c>
      <c r="K763" s="12">
        <v>605.62</v>
      </c>
      <c r="L763" s="9">
        <v>272.77999999999997</v>
      </c>
      <c r="M763" s="16">
        <f t="shared" si="55"/>
        <v>1.9845451352300668E-2</v>
      </c>
      <c r="N763" s="18">
        <f t="shared" si="56"/>
        <v>8.8495575221238937E-3</v>
      </c>
      <c r="O763" s="8">
        <f t="shared" si="57"/>
        <v>151.405</v>
      </c>
      <c r="P763" s="14">
        <f t="shared" si="58"/>
        <v>-332.84000000000003</v>
      </c>
      <c r="Q763" s="16">
        <f t="shared" si="59"/>
        <v>-0.54958554869390053</v>
      </c>
    </row>
    <row r="764" spans="1:17" x14ac:dyDescent="0.2">
      <c r="A764" s="2">
        <v>45724</v>
      </c>
      <c r="B764" s="3" t="s">
        <v>486</v>
      </c>
      <c r="C764" s="3" t="s">
        <v>13</v>
      </c>
      <c r="D764" s="3" t="s">
        <v>14</v>
      </c>
      <c r="E764" s="3" t="s">
        <v>20</v>
      </c>
      <c r="F764" s="3" t="s">
        <v>34</v>
      </c>
      <c r="G764" s="3" t="s">
        <v>17</v>
      </c>
      <c r="H764" s="3">
        <v>8647</v>
      </c>
      <c r="I764" s="3">
        <v>293</v>
      </c>
      <c r="J764" s="3">
        <v>12</v>
      </c>
      <c r="K764" s="12">
        <v>622.74</v>
      </c>
      <c r="L764" s="9">
        <v>845.12</v>
      </c>
      <c r="M764" s="16">
        <f t="shared" si="55"/>
        <v>3.3884584248872439E-2</v>
      </c>
      <c r="N764" s="18">
        <f t="shared" si="56"/>
        <v>4.0955631399317405E-2</v>
      </c>
      <c r="O764" s="8">
        <f t="shared" si="57"/>
        <v>51.895000000000003</v>
      </c>
      <c r="P764" s="14">
        <f t="shared" si="58"/>
        <v>222.38</v>
      </c>
      <c r="Q764" s="16">
        <f t="shared" si="59"/>
        <v>0.35709927096380512</v>
      </c>
    </row>
    <row r="765" spans="1:17" x14ac:dyDescent="0.2">
      <c r="A765" s="2">
        <v>45724</v>
      </c>
      <c r="B765" s="3" t="s">
        <v>923</v>
      </c>
      <c r="C765" s="3" t="s">
        <v>49</v>
      </c>
      <c r="D765" s="3" t="s">
        <v>46</v>
      </c>
      <c r="E765" s="3" t="s">
        <v>20</v>
      </c>
      <c r="F765" s="3" t="s">
        <v>50</v>
      </c>
      <c r="G765" s="3" t="s">
        <v>17</v>
      </c>
      <c r="H765" s="3">
        <v>16266</v>
      </c>
      <c r="I765" s="3">
        <v>624</v>
      </c>
      <c r="J765" s="3">
        <v>17</v>
      </c>
      <c r="K765" s="12">
        <v>842.41</v>
      </c>
      <c r="L765" s="9">
        <v>1274.9000000000001</v>
      </c>
      <c r="M765" s="16">
        <f t="shared" si="55"/>
        <v>3.8362227960162303E-2</v>
      </c>
      <c r="N765" s="18">
        <f t="shared" si="56"/>
        <v>2.7243589743589744E-2</v>
      </c>
      <c r="O765" s="8">
        <f t="shared" si="57"/>
        <v>49.553529411764707</v>
      </c>
      <c r="P765" s="14">
        <f t="shared" si="58"/>
        <v>432.49000000000012</v>
      </c>
      <c r="Q765" s="16">
        <f t="shared" si="59"/>
        <v>0.51339608979000739</v>
      </c>
    </row>
    <row r="766" spans="1:17" x14ac:dyDescent="0.2">
      <c r="A766" s="2">
        <v>45725</v>
      </c>
      <c r="B766" s="3" t="s">
        <v>543</v>
      </c>
      <c r="C766" s="3" t="s">
        <v>36</v>
      </c>
      <c r="D766" s="3" t="s">
        <v>37</v>
      </c>
      <c r="E766" s="3" t="s">
        <v>15</v>
      </c>
      <c r="F766" s="3" t="s">
        <v>50</v>
      </c>
      <c r="G766" s="3" t="s">
        <v>17</v>
      </c>
      <c r="H766" s="3">
        <v>5897</v>
      </c>
      <c r="I766" s="3">
        <v>171</v>
      </c>
      <c r="J766" s="3">
        <v>2</v>
      </c>
      <c r="K766" s="12">
        <v>787.97</v>
      </c>
      <c r="L766" s="9">
        <v>198.44</v>
      </c>
      <c r="M766" s="16">
        <f t="shared" si="55"/>
        <v>2.8997795489231811E-2</v>
      </c>
      <c r="N766" s="18">
        <f t="shared" si="56"/>
        <v>1.1695906432748537E-2</v>
      </c>
      <c r="O766" s="8">
        <f t="shared" si="57"/>
        <v>393.98500000000001</v>
      </c>
      <c r="P766" s="14">
        <f t="shared" si="58"/>
        <v>-589.53</v>
      </c>
      <c r="Q766" s="16">
        <f t="shared" si="59"/>
        <v>-0.74816300112948453</v>
      </c>
    </row>
    <row r="767" spans="1:17" x14ac:dyDescent="0.2">
      <c r="A767" s="2">
        <v>45725</v>
      </c>
      <c r="B767" s="3" t="s">
        <v>208</v>
      </c>
      <c r="C767" s="3" t="s">
        <v>41</v>
      </c>
      <c r="D767" s="3" t="s">
        <v>24</v>
      </c>
      <c r="E767" s="3" t="s">
        <v>20</v>
      </c>
      <c r="F767" s="3" t="s">
        <v>34</v>
      </c>
      <c r="G767" s="3" t="s">
        <v>17</v>
      </c>
      <c r="H767" s="3">
        <v>4293</v>
      </c>
      <c r="I767" s="3">
        <v>438</v>
      </c>
      <c r="J767" s="3">
        <v>58</v>
      </c>
      <c r="K767" s="12">
        <v>150.5</v>
      </c>
      <c r="L767" s="9">
        <v>7965.95</v>
      </c>
      <c r="M767" s="16">
        <f t="shared" si="55"/>
        <v>0.10202655485674354</v>
      </c>
      <c r="N767" s="18">
        <f t="shared" si="56"/>
        <v>0.13242009132420091</v>
      </c>
      <c r="O767" s="8">
        <f t="shared" si="57"/>
        <v>2.5948275862068964</v>
      </c>
      <c r="P767" s="14">
        <f t="shared" si="58"/>
        <v>7815.45</v>
      </c>
      <c r="Q767" s="16">
        <f t="shared" si="59"/>
        <v>51.929900332225913</v>
      </c>
    </row>
    <row r="768" spans="1:17" x14ac:dyDescent="0.2">
      <c r="A768" s="2">
        <v>45725</v>
      </c>
      <c r="B768" s="3" t="s">
        <v>924</v>
      </c>
      <c r="C768" s="3" t="s">
        <v>110</v>
      </c>
      <c r="D768" s="3" t="s">
        <v>24</v>
      </c>
      <c r="E768" s="3" t="s">
        <v>31</v>
      </c>
      <c r="F768" s="3" t="s">
        <v>47</v>
      </c>
      <c r="G768" s="3" t="s">
        <v>17</v>
      </c>
      <c r="H768" s="3">
        <v>4905</v>
      </c>
      <c r="I768" s="3">
        <v>518</v>
      </c>
      <c r="J768" s="3">
        <v>104</v>
      </c>
      <c r="K768" s="12">
        <v>135.52000000000001</v>
      </c>
      <c r="L768" s="9">
        <v>11673.64</v>
      </c>
      <c r="M768" s="16">
        <f t="shared" si="55"/>
        <v>0.1056065239551478</v>
      </c>
      <c r="N768" s="18">
        <f t="shared" si="56"/>
        <v>0.20077220077220076</v>
      </c>
      <c r="O768" s="8">
        <f t="shared" si="57"/>
        <v>1.3030769230769232</v>
      </c>
      <c r="P768" s="14">
        <f t="shared" si="58"/>
        <v>11538.119999999999</v>
      </c>
      <c r="Q768" s="16">
        <f t="shared" si="59"/>
        <v>85.139610389610382</v>
      </c>
    </row>
    <row r="769" spans="1:17" x14ac:dyDescent="0.2">
      <c r="A769" s="2">
        <v>45725</v>
      </c>
      <c r="B769" s="3" t="s">
        <v>346</v>
      </c>
      <c r="C769" s="3" t="s">
        <v>19</v>
      </c>
      <c r="D769" s="3" t="s">
        <v>14</v>
      </c>
      <c r="E769" s="3" t="s">
        <v>20</v>
      </c>
      <c r="F769" s="3" t="s">
        <v>47</v>
      </c>
      <c r="G769" s="3" t="s">
        <v>17</v>
      </c>
      <c r="H769" s="3">
        <v>7759</v>
      </c>
      <c r="I769" s="3">
        <v>380</v>
      </c>
      <c r="J769" s="3">
        <v>12</v>
      </c>
      <c r="K769" s="12">
        <v>825.61</v>
      </c>
      <c r="L769" s="9">
        <v>1026.07</v>
      </c>
      <c r="M769" s="16">
        <f t="shared" si="55"/>
        <v>4.8975383425699189E-2</v>
      </c>
      <c r="N769" s="18">
        <f t="shared" si="56"/>
        <v>3.1578947368421054E-2</v>
      </c>
      <c r="O769" s="8">
        <f t="shared" si="57"/>
        <v>68.80083333333333</v>
      </c>
      <c r="P769" s="14">
        <f t="shared" si="58"/>
        <v>200.45999999999992</v>
      </c>
      <c r="Q769" s="16">
        <f t="shared" si="59"/>
        <v>0.24280229163890932</v>
      </c>
    </row>
    <row r="770" spans="1:17" x14ac:dyDescent="0.2">
      <c r="A770" s="2">
        <v>45725</v>
      </c>
      <c r="B770" s="3" t="s">
        <v>925</v>
      </c>
      <c r="C770" s="3" t="s">
        <v>74</v>
      </c>
      <c r="D770" s="3" t="s">
        <v>28</v>
      </c>
      <c r="E770" s="3" t="s">
        <v>20</v>
      </c>
      <c r="F770" s="3" t="s">
        <v>34</v>
      </c>
      <c r="G770" s="3" t="s">
        <v>17</v>
      </c>
      <c r="H770" s="3">
        <v>24924</v>
      </c>
      <c r="I770" s="3">
        <v>780</v>
      </c>
      <c r="J770" s="3">
        <v>6</v>
      </c>
      <c r="K770" s="12">
        <v>697.34</v>
      </c>
      <c r="L770" s="9">
        <v>372.23</v>
      </c>
      <c r="M770" s="16">
        <f t="shared" si="55"/>
        <v>3.1295137217140105E-2</v>
      </c>
      <c r="N770" s="18">
        <f t="shared" si="56"/>
        <v>7.6923076923076927E-3</v>
      </c>
      <c r="O770" s="8">
        <f t="shared" si="57"/>
        <v>116.22333333333334</v>
      </c>
      <c r="P770" s="14">
        <f t="shared" si="58"/>
        <v>-325.11</v>
      </c>
      <c r="Q770" s="16">
        <f t="shared" si="59"/>
        <v>-0.46621447213697764</v>
      </c>
    </row>
    <row r="771" spans="1:17" x14ac:dyDescent="0.2">
      <c r="A771" s="2">
        <v>45725</v>
      </c>
      <c r="B771" s="3" t="s">
        <v>926</v>
      </c>
      <c r="C771" s="3" t="s">
        <v>33</v>
      </c>
      <c r="D771" s="3" t="s">
        <v>28</v>
      </c>
      <c r="E771" s="3" t="s">
        <v>20</v>
      </c>
      <c r="F771" s="3" t="s">
        <v>16</v>
      </c>
      <c r="G771" s="3" t="s">
        <v>17</v>
      </c>
      <c r="H771" s="3">
        <v>33834</v>
      </c>
      <c r="I771" s="3">
        <v>1020</v>
      </c>
      <c r="J771" s="3">
        <v>17</v>
      </c>
      <c r="K771" s="12">
        <v>1254.3499999999999</v>
      </c>
      <c r="L771" s="9">
        <v>716.57</v>
      </c>
      <c r="M771" s="16">
        <f t="shared" ref="M771:M834" si="60">IFERROR(I771/H771,0)</f>
        <v>3.0147189217946443E-2</v>
      </c>
      <c r="N771" s="18">
        <f t="shared" ref="N771:N834" si="61">IFERROR(J771/I771,0)</f>
        <v>1.6666666666666666E-2</v>
      </c>
      <c r="O771" s="8">
        <f t="shared" ref="O771:O834" si="62">IFERROR(K771/J771,0)</f>
        <v>73.785294117647055</v>
      </c>
      <c r="P771" s="14">
        <f t="shared" ref="P771:P834" si="63">L771-K771</f>
        <v>-537.77999999999986</v>
      </c>
      <c r="Q771" s="16">
        <f t="shared" ref="Q771:Q834" si="64">IFERROR((L771-K771)/K771,0)</f>
        <v>-0.42873201259616528</v>
      </c>
    </row>
    <row r="772" spans="1:17" x14ac:dyDescent="0.2">
      <c r="A772" s="2">
        <v>45725</v>
      </c>
      <c r="B772" s="3" t="s">
        <v>382</v>
      </c>
      <c r="C772" s="3" t="s">
        <v>19</v>
      </c>
      <c r="D772" s="3" t="s">
        <v>14</v>
      </c>
      <c r="E772" s="3" t="s">
        <v>20</v>
      </c>
      <c r="F772" s="3" t="s">
        <v>29</v>
      </c>
      <c r="G772" s="3" t="s">
        <v>17</v>
      </c>
      <c r="H772" s="3">
        <v>12653</v>
      </c>
      <c r="I772" s="3">
        <v>453</v>
      </c>
      <c r="J772" s="3">
        <v>18</v>
      </c>
      <c r="K772" s="12">
        <v>1126.6199999999999</v>
      </c>
      <c r="L772" s="9">
        <v>1762.16</v>
      </c>
      <c r="M772" s="16">
        <f t="shared" si="60"/>
        <v>3.580178613767486E-2</v>
      </c>
      <c r="N772" s="18">
        <f t="shared" si="61"/>
        <v>3.9735099337748346E-2</v>
      </c>
      <c r="O772" s="8">
        <f t="shared" si="62"/>
        <v>62.589999999999996</v>
      </c>
      <c r="P772" s="14">
        <f t="shared" si="63"/>
        <v>635.54000000000019</v>
      </c>
      <c r="Q772" s="16">
        <f t="shared" si="64"/>
        <v>0.56411212298734292</v>
      </c>
    </row>
    <row r="773" spans="1:17" x14ac:dyDescent="0.2">
      <c r="A773" s="2">
        <v>45725</v>
      </c>
      <c r="B773" s="3" t="s">
        <v>927</v>
      </c>
      <c r="C773" s="3" t="s">
        <v>27</v>
      </c>
      <c r="D773" s="3" t="s">
        <v>28</v>
      </c>
      <c r="E773" s="3" t="s">
        <v>31</v>
      </c>
      <c r="F773" s="3" t="s">
        <v>50</v>
      </c>
      <c r="G773" s="3" t="s">
        <v>21</v>
      </c>
      <c r="H773" s="3">
        <v>33149</v>
      </c>
      <c r="I773" s="3">
        <v>571</v>
      </c>
      <c r="J773" s="3">
        <v>19</v>
      </c>
      <c r="K773" s="12">
        <v>562.14</v>
      </c>
      <c r="L773" s="9">
        <v>1073.99</v>
      </c>
      <c r="M773" s="16">
        <f t="shared" si="60"/>
        <v>1.7225255663820931E-2</v>
      </c>
      <c r="N773" s="18">
        <f t="shared" si="61"/>
        <v>3.3274956217162872E-2</v>
      </c>
      <c r="O773" s="8">
        <f t="shared" si="62"/>
        <v>29.586315789473684</v>
      </c>
      <c r="P773" s="14">
        <f t="shared" si="63"/>
        <v>511.85</v>
      </c>
      <c r="Q773" s="16">
        <f t="shared" si="64"/>
        <v>0.91053830006759884</v>
      </c>
    </row>
    <row r="774" spans="1:17" x14ac:dyDescent="0.2">
      <c r="A774" s="2">
        <v>45725</v>
      </c>
      <c r="B774" s="3" t="s">
        <v>186</v>
      </c>
      <c r="C774" s="3" t="s">
        <v>45</v>
      </c>
      <c r="D774" s="3" t="s">
        <v>46</v>
      </c>
      <c r="E774" s="3" t="s">
        <v>31</v>
      </c>
      <c r="F774" s="3" t="s">
        <v>34</v>
      </c>
      <c r="G774" s="3" t="s">
        <v>21</v>
      </c>
      <c r="H774" s="3">
        <v>8027</v>
      </c>
      <c r="I774" s="3">
        <v>328</v>
      </c>
      <c r="J774" s="3">
        <v>11</v>
      </c>
      <c r="K774" s="12">
        <v>351.81</v>
      </c>
      <c r="L774" s="9">
        <v>698.74</v>
      </c>
      <c r="M774" s="16">
        <f t="shared" si="60"/>
        <v>4.0862090444748971E-2</v>
      </c>
      <c r="N774" s="18">
        <f t="shared" si="61"/>
        <v>3.3536585365853661E-2</v>
      </c>
      <c r="O774" s="8">
        <f t="shared" si="62"/>
        <v>31.982727272727274</v>
      </c>
      <c r="P774" s="14">
        <f t="shared" si="63"/>
        <v>346.93</v>
      </c>
      <c r="Q774" s="16">
        <f t="shared" si="64"/>
        <v>0.98612887638213809</v>
      </c>
    </row>
    <row r="775" spans="1:17" x14ac:dyDescent="0.2">
      <c r="A775" s="2">
        <v>45725</v>
      </c>
      <c r="B775" s="3" t="s">
        <v>928</v>
      </c>
      <c r="C775" s="3" t="s">
        <v>110</v>
      </c>
      <c r="D775" s="3" t="s">
        <v>24</v>
      </c>
      <c r="E775" s="3" t="s">
        <v>20</v>
      </c>
      <c r="F775" s="3" t="s">
        <v>50</v>
      </c>
      <c r="G775" s="3" t="s">
        <v>21</v>
      </c>
      <c r="H775" s="3">
        <v>3995</v>
      </c>
      <c r="I775" s="3">
        <v>493</v>
      </c>
      <c r="J775" s="3">
        <v>88</v>
      </c>
      <c r="K775" s="12">
        <v>207.64</v>
      </c>
      <c r="L775" s="9">
        <v>11602.31</v>
      </c>
      <c r="M775" s="16">
        <f t="shared" si="60"/>
        <v>0.12340425531914893</v>
      </c>
      <c r="N775" s="18">
        <f t="shared" si="61"/>
        <v>0.17849898580121704</v>
      </c>
      <c r="O775" s="8">
        <f t="shared" si="62"/>
        <v>2.3595454545454544</v>
      </c>
      <c r="P775" s="14">
        <f t="shared" si="63"/>
        <v>11394.67</v>
      </c>
      <c r="Q775" s="16">
        <f t="shared" si="64"/>
        <v>54.87704681178964</v>
      </c>
    </row>
    <row r="776" spans="1:17" x14ac:dyDescent="0.2">
      <c r="A776" s="2">
        <v>45725</v>
      </c>
      <c r="B776" s="3" t="s">
        <v>929</v>
      </c>
      <c r="C776" s="3" t="s">
        <v>19</v>
      </c>
      <c r="D776" s="3" t="s">
        <v>14</v>
      </c>
      <c r="E776" s="3" t="s">
        <v>20</v>
      </c>
      <c r="F776" s="3" t="s">
        <v>29</v>
      </c>
      <c r="G776" s="3" t="s">
        <v>17</v>
      </c>
      <c r="H776" s="3">
        <v>8100</v>
      </c>
      <c r="I776" s="3">
        <v>375</v>
      </c>
      <c r="J776" s="3">
        <v>15</v>
      </c>
      <c r="K776" s="12">
        <v>619.85</v>
      </c>
      <c r="L776" s="9">
        <v>1275.06</v>
      </c>
      <c r="M776" s="16">
        <f t="shared" si="60"/>
        <v>4.6296296296296294E-2</v>
      </c>
      <c r="N776" s="18">
        <f t="shared" si="61"/>
        <v>0.04</v>
      </c>
      <c r="O776" s="8">
        <f t="shared" si="62"/>
        <v>41.323333333333338</v>
      </c>
      <c r="P776" s="14">
        <f t="shared" si="63"/>
        <v>655.20999999999992</v>
      </c>
      <c r="Q776" s="16">
        <f t="shared" si="64"/>
        <v>1.0570460595305313</v>
      </c>
    </row>
    <row r="777" spans="1:17" x14ac:dyDescent="0.2">
      <c r="A777" s="2">
        <v>45725</v>
      </c>
      <c r="B777" s="3" t="s">
        <v>930</v>
      </c>
      <c r="C777" s="3" t="s">
        <v>156</v>
      </c>
      <c r="D777" s="3" t="s">
        <v>46</v>
      </c>
      <c r="E777" s="3" t="s">
        <v>20</v>
      </c>
      <c r="F777" s="3" t="s">
        <v>16</v>
      </c>
      <c r="G777" s="3" t="s">
        <v>17</v>
      </c>
      <c r="H777" s="3">
        <v>11862</v>
      </c>
      <c r="I777" s="3">
        <v>447</v>
      </c>
      <c r="J777" s="3">
        <v>6</v>
      </c>
      <c r="K777" s="12">
        <v>766.61</v>
      </c>
      <c r="L777" s="9">
        <v>391.09</v>
      </c>
      <c r="M777" s="16">
        <f t="shared" si="60"/>
        <v>3.768335862417805E-2</v>
      </c>
      <c r="N777" s="18">
        <f t="shared" si="61"/>
        <v>1.3422818791946308E-2</v>
      </c>
      <c r="O777" s="8">
        <f t="shared" si="62"/>
        <v>127.76833333333333</v>
      </c>
      <c r="P777" s="14">
        <f t="shared" si="63"/>
        <v>-375.52000000000004</v>
      </c>
      <c r="Q777" s="16">
        <f t="shared" si="64"/>
        <v>-0.48984490157968202</v>
      </c>
    </row>
    <row r="778" spans="1:17" x14ac:dyDescent="0.2">
      <c r="A778" s="2">
        <v>45725</v>
      </c>
      <c r="B778" s="3" t="s">
        <v>78</v>
      </c>
      <c r="C778" s="3" t="s">
        <v>71</v>
      </c>
      <c r="D778" s="3" t="s">
        <v>37</v>
      </c>
      <c r="E778" s="3" t="s">
        <v>31</v>
      </c>
      <c r="F778" s="3" t="s">
        <v>50</v>
      </c>
      <c r="G778" s="3" t="s">
        <v>17</v>
      </c>
      <c r="H778" s="3">
        <v>5016</v>
      </c>
      <c r="I778" s="3">
        <v>187</v>
      </c>
      <c r="J778" s="3">
        <v>4</v>
      </c>
      <c r="K778" s="12">
        <v>1152.77</v>
      </c>
      <c r="L778" s="9">
        <v>524.09</v>
      </c>
      <c r="M778" s="16">
        <f t="shared" si="60"/>
        <v>3.7280701754385963E-2</v>
      </c>
      <c r="N778" s="18">
        <f t="shared" si="61"/>
        <v>2.1390374331550801E-2</v>
      </c>
      <c r="O778" s="8">
        <f t="shared" si="62"/>
        <v>288.1925</v>
      </c>
      <c r="P778" s="14">
        <f t="shared" si="63"/>
        <v>-628.67999999999995</v>
      </c>
      <c r="Q778" s="16">
        <f t="shared" si="64"/>
        <v>-0.54536464342410018</v>
      </c>
    </row>
    <row r="779" spans="1:17" x14ac:dyDescent="0.2">
      <c r="A779" s="2">
        <v>45725</v>
      </c>
      <c r="B779" s="3" t="s">
        <v>931</v>
      </c>
      <c r="C779" s="3" t="s">
        <v>45</v>
      </c>
      <c r="D779" s="3" t="s">
        <v>46</v>
      </c>
      <c r="E779" s="3" t="s">
        <v>31</v>
      </c>
      <c r="F779" s="3" t="s">
        <v>34</v>
      </c>
      <c r="G779" s="3" t="s">
        <v>17</v>
      </c>
      <c r="H779" s="3">
        <v>19776</v>
      </c>
      <c r="I779" s="3">
        <v>828</v>
      </c>
      <c r="J779" s="3">
        <v>30</v>
      </c>
      <c r="K779" s="12">
        <v>1292.98</v>
      </c>
      <c r="L779" s="9">
        <v>2966.59</v>
      </c>
      <c r="M779" s="16">
        <f t="shared" si="60"/>
        <v>4.1868932038834954E-2</v>
      </c>
      <c r="N779" s="18">
        <f t="shared" si="61"/>
        <v>3.6231884057971016E-2</v>
      </c>
      <c r="O779" s="8">
        <f t="shared" si="62"/>
        <v>43.099333333333334</v>
      </c>
      <c r="P779" s="14">
        <f t="shared" si="63"/>
        <v>1673.6100000000001</v>
      </c>
      <c r="Q779" s="16">
        <f t="shared" si="64"/>
        <v>1.2943819703321011</v>
      </c>
    </row>
    <row r="780" spans="1:17" x14ac:dyDescent="0.2">
      <c r="A780" s="2">
        <v>45725</v>
      </c>
      <c r="B780" s="3" t="s">
        <v>106</v>
      </c>
      <c r="C780" s="3" t="s">
        <v>19</v>
      </c>
      <c r="D780" s="3" t="s">
        <v>14</v>
      </c>
      <c r="E780" s="3" t="s">
        <v>20</v>
      </c>
      <c r="F780" s="3" t="s">
        <v>29</v>
      </c>
      <c r="G780" s="3" t="s">
        <v>21</v>
      </c>
      <c r="H780" s="3">
        <v>11116</v>
      </c>
      <c r="I780" s="3">
        <v>299</v>
      </c>
      <c r="J780" s="3">
        <v>9</v>
      </c>
      <c r="K780" s="12">
        <v>751.41</v>
      </c>
      <c r="L780" s="9">
        <v>665.16</v>
      </c>
      <c r="M780" s="16">
        <f t="shared" si="60"/>
        <v>2.6898164807484706E-2</v>
      </c>
      <c r="N780" s="18">
        <f t="shared" si="61"/>
        <v>3.0100334448160536E-2</v>
      </c>
      <c r="O780" s="8">
        <f t="shared" si="62"/>
        <v>83.49</v>
      </c>
      <c r="P780" s="14">
        <f t="shared" si="63"/>
        <v>-86.25</v>
      </c>
      <c r="Q780" s="16">
        <f t="shared" si="64"/>
        <v>-0.1147842056932966</v>
      </c>
    </row>
    <row r="781" spans="1:17" x14ac:dyDescent="0.2">
      <c r="A781" s="2">
        <v>45725</v>
      </c>
      <c r="B781" s="3" t="s">
        <v>932</v>
      </c>
      <c r="C781" s="3" t="s">
        <v>58</v>
      </c>
      <c r="D781" s="3" t="s">
        <v>37</v>
      </c>
      <c r="E781" s="3" t="s">
        <v>20</v>
      </c>
      <c r="F781" s="3" t="s">
        <v>29</v>
      </c>
      <c r="G781" s="3" t="s">
        <v>17</v>
      </c>
      <c r="H781" s="3">
        <v>4474</v>
      </c>
      <c r="I781" s="3">
        <v>272</v>
      </c>
      <c r="J781" s="3">
        <v>4</v>
      </c>
      <c r="K781" s="12">
        <v>1229.51</v>
      </c>
      <c r="L781" s="9">
        <v>676.04</v>
      </c>
      <c r="M781" s="16">
        <f t="shared" si="60"/>
        <v>6.0795708538220833E-2</v>
      </c>
      <c r="N781" s="18">
        <f t="shared" si="61"/>
        <v>1.4705882352941176E-2</v>
      </c>
      <c r="O781" s="8">
        <f t="shared" si="62"/>
        <v>307.3775</v>
      </c>
      <c r="P781" s="14">
        <f t="shared" si="63"/>
        <v>-553.47</v>
      </c>
      <c r="Q781" s="16">
        <f t="shared" si="64"/>
        <v>-0.450154939772755</v>
      </c>
    </row>
    <row r="782" spans="1:17" x14ac:dyDescent="0.2">
      <c r="A782" s="2">
        <v>45725</v>
      </c>
      <c r="B782" s="3" t="s">
        <v>933</v>
      </c>
      <c r="C782" s="3" t="s">
        <v>43</v>
      </c>
      <c r="D782" s="3" t="s">
        <v>37</v>
      </c>
      <c r="E782" s="3" t="s">
        <v>31</v>
      </c>
      <c r="F782" s="3" t="s">
        <v>29</v>
      </c>
      <c r="G782" s="3" t="s">
        <v>21</v>
      </c>
      <c r="H782" s="3">
        <v>4466</v>
      </c>
      <c r="I782" s="3">
        <v>120</v>
      </c>
      <c r="J782" s="3">
        <v>2</v>
      </c>
      <c r="K782" s="12">
        <v>820.68</v>
      </c>
      <c r="L782" s="9">
        <v>425.97</v>
      </c>
      <c r="M782" s="16">
        <f t="shared" si="60"/>
        <v>2.6869682042095836E-2</v>
      </c>
      <c r="N782" s="18">
        <f t="shared" si="61"/>
        <v>1.6666666666666666E-2</v>
      </c>
      <c r="O782" s="8">
        <f t="shared" si="62"/>
        <v>410.34</v>
      </c>
      <c r="P782" s="14">
        <f t="shared" si="63"/>
        <v>-394.70999999999992</v>
      </c>
      <c r="Q782" s="16">
        <f t="shared" si="64"/>
        <v>-0.48095481795584144</v>
      </c>
    </row>
    <row r="783" spans="1:17" x14ac:dyDescent="0.2">
      <c r="A783" s="2">
        <v>45726</v>
      </c>
      <c r="B783" s="3" t="s">
        <v>934</v>
      </c>
      <c r="C783" s="3" t="s">
        <v>58</v>
      </c>
      <c r="D783" s="3" t="s">
        <v>37</v>
      </c>
      <c r="E783" s="3" t="s">
        <v>20</v>
      </c>
      <c r="F783" s="3" t="s">
        <v>29</v>
      </c>
      <c r="G783" s="3" t="s">
        <v>17</v>
      </c>
      <c r="H783" s="3">
        <v>3711</v>
      </c>
      <c r="I783" s="3">
        <v>128</v>
      </c>
      <c r="J783" s="3">
        <v>2</v>
      </c>
      <c r="K783" s="12">
        <v>716.46</v>
      </c>
      <c r="L783" s="9">
        <v>233.47</v>
      </c>
      <c r="M783" s="16">
        <f t="shared" si="60"/>
        <v>3.4492050660199405E-2</v>
      </c>
      <c r="N783" s="18">
        <f t="shared" si="61"/>
        <v>1.5625E-2</v>
      </c>
      <c r="O783" s="8">
        <f t="shared" si="62"/>
        <v>358.23</v>
      </c>
      <c r="P783" s="14">
        <f t="shared" si="63"/>
        <v>-482.99</v>
      </c>
      <c r="Q783" s="16">
        <f t="shared" si="64"/>
        <v>-0.67413393629790919</v>
      </c>
    </row>
    <row r="784" spans="1:17" x14ac:dyDescent="0.2">
      <c r="A784" s="2">
        <v>45726</v>
      </c>
      <c r="B784" s="3" t="s">
        <v>327</v>
      </c>
      <c r="C784" s="3" t="s">
        <v>43</v>
      </c>
      <c r="D784" s="3" t="s">
        <v>37</v>
      </c>
      <c r="E784" s="3" t="s">
        <v>20</v>
      </c>
      <c r="F784" s="3" t="s">
        <v>29</v>
      </c>
      <c r="G784" s="3" t="s">
        <v>17</v>
      </c>
      <c r="H784" s="3">
        <v>2543</v>
      </c>
      <c r="I784" s="3">
        <v>70</v>
      </c>
      <c r="J784" s="3">
        <v>1</v>
      </c>
      <c r="K784" s="12">
        <v>496.75</v>
      </c>
      <c r="L784" s="9">
        <v>137.78</v>
      </c>
      <c r="M784" s="16">
        <f t="shared" si="60"/>
        <v>2.7526543452615022E-2</v>
      </c>
      <c r="N784" s="18">
        <f t="shared" si="61"/>
        <v>1.4285714285714285E-2</v>
      </c>
      <c r="O784" s="8">
        <f t="shared" si="62"/>
        <v>496.75</v>
      </c>
      <c r="P784" s="14">
        <f t="shared" si="63"/>
        <v>-358.97</v>
      </c>
      <c r="Q784" s="16">
        <f t="shared" si="64"/>
        <v>-0.72263714141922497</v>
      </c>
    </row>
    <row r="785" spans="1:17" x14ac:dyDescent="0.2">
      <c r="A785" s="2">
        <v>45726</v>
      </c>
      <c r="B785" s="3" t="s">
        <v>72</v>
      </c>
      <c r="C785" s="3" t="s">
        <v>52</v>
      </c>
      <c r="D785" s="3" t="s">
        <v>24</v>
      </c>
      <c r="E785" s="3" t="s">
        <v>15</v>
      </c>
      <c r="F785" s="3" t="s">
        <v>29</v>
      </c>
      <c r="G785" s="3" t="s">
        <v>21</v>
      </c>
      <c r="H785" s="3">
        <v>3325</v>
      </c>
      <c r="I785" s="3">
        <v>249</v>
      </c>
      <c r="J785" s="3">
        <v>27</v>
      </c>
      <c r="K785" s="12">
        <v>58.4</v>
      </c>
      <c r="L785" s="9">
        <v>2387.91</v>
      </c>
      <c r="M785" s="16">
        <f t="shared" si="60"/>
        <v>7.488721804511278E-2</v>
      </c>
      <c r="N785" s="18">
        <f t="shared" si="61"/>
        <v>0.10843373493975904</v>
      </c>
      <c r="O785" s="8">
        <f t="shared" si="62"/>
        <v>2.162962962962963</v>
      </c>
      <c r="P785" s="14">
        <f t="shared" si="63"/>
        <v>2329.5099999999998</v>
      </c>
      <c r="Q785" s="16">
        <f t="shared" si="64"/>
        <v>39.888869863013696</v>
      </c>
    </row>
    <row r="786" spans="1:17" x14ac:dyDescent="0.2">
      <c r="A786" s="2">
        <v>45726</v>
      </c>
      <c r="B786" s="3" t="s">
        <v>193</v>
      </c>
      <c r="C786" s="3" t="s">
        <v>13</v>
      </c>
      <c r="D786" s="3" t="s">
        <v>14</v>
      </c>
      <c r="E786" s="3" t="s">
        <v>15</v>
      </c>
      <c r="F786" s="3" t="s">
        <v>16</v>
      </c>
      <c r="G786" s="3" t="s">
        <v>17</v>
      </c>
      <c r="H786" s="3">
        <v>6386</v>
      </c>
      <c r="I786" s="3">
        <v>241</v>
      </c>
      <c r="J786" s="3">
        <v>7</v>
      </c>
      <c r="K786" s="12">
        <v>512.86</v>
      </c>
      <c r="L786" s="9">
        <v>678.86</v>
      </c>
      <c r="M786" s="16">
        <f t="shared" si="60"/>
        <v>3.7738803632947071E-2</v>
      </c>
      <c r="N786" s="18">
        <f t="shared" si="61"/>
        <v>2.9045643153526972E-2</v>
      </c>
      <c r="O786" s="8">
        <f t="shared" si="62"/>
        <v>73.265714285714282</v>
      </c>
      <c r="P786" s="14">
        <f t="shared" si="63"/>
        <v>166</v>
      </c>
      <c r="Q786" s="16">
        <f t="shared" si="64"/>
        <v>0.3236750770190695</v>
      </c>
    </row>
    <row r="787" spans="1:17" x14ac:dyDescent="0.2">
      <c r="A787" s="2">
        <v>45726</v>
      </c>
      <c r="B787" s="3" t="s">
        <v>55</v>
      </c>
      <c r="C787" s="3" t="s">
        <v>39</v>
      </c>
      <c r="D787" s="3" t="s">
        <v>28</v>
      </c>
      <c r="E787" s="3" t="s">
        <v>15</v>
      </c>
      <c r="F787" s="3" t="s">
        <v>50</v>
      </c>
      <c r="G787" s="3" t="s">
        <v>17</v>
      </c>
      <c r="H787" s="3">
        <v>39230</v>
      </c>
      <c r="I787" s="3">
        <v>1042</v>
      </c>
      <c r="J787" s="3">
        <v>7</v>
      </c>
      <c r="K787" s="12">
        <v>958.14</v>
      </c>
      <c r="L787" s="9">
        <v>506.09</v>
      </c>
      <c r="M787" s="16">
        <f t="shared" si="60"/>
        <v>2.6561305123629874E-2</v>
      </c>
      <c r="N787" s="18">
        <f t="shared" si="61"/>
        <v>6.7178502879078695E-3</v>
      </c>
      <c r="O787" s="8">
        <f t="shared" si="62"/>
        <v>136.87714285714284</v>
      </c>
      <c r="P787" s="14">
        <f t="shared" si="63"/>
        <v>-452.05</v>
      </c>
      <c r="Q787" s="16">
        <f t="shared" si="64"/>
        <v>-0.4717995282526562</v>
      </c>
    </row>
    <row r="788" spans="1:17" x14ac:dyDescent="0.2">
      <c r="A788" s="2">
        <v>45726</v>
      </c>
      <c r="B788" s="3" t="s">
        <v>935</v>
      </c>
      <c r="C788" s="3" t="s">
        <v>54</v>
      </c>
      <c r="D788" s="3" t="s">
        <v>14</v>
      </c>
      <c r="E788" s="3" t="s">
        <v>20</v>
      </c>
      <c r="F788" s="3" t="s">
        <v>34</v>
      </c>
      <c r="G788" s="3" t="s">
        <v>17</v>
      </c>
      <c r="H788" s="3">
        <v>8895</v>
      </c>
      <c r="I788" s="3">
        <v>286</v>
      </c>
      <c r="J788" s="3">
        <v>10</v>
      </c>
      <c r="K788" s="12">
        <v>802.28</v>
      </c>
      <c r="L788" s="9">
        <v>800.7</v>
      </c>
      <c r="M788" s="16">
        <f t="shared" si="60"/>
        <v>3.215289488476672E-2</v>
      </c>
      <c r="N788" s="18">
        <f t="shared" si="61"/>
        <v>3.4965034965034968E-2</v>
      </c>
      <c r="O788" s="8">
        <f t="shared" si="62"/>
        <v>80.227999999999994</v>
      </c>
      <c r="P788" s="14">
        <f t="shared" si="63"/>
        <v>-1.5799999999999272</v>
      </c>
      <c r="Q788" s="16">
        <f t="shared" si="64"/>
        <v>-1.969387246347818E-3</v>
      </c>
    </row>
    <row r="789" spans="1:17" x14ac:dyDescent="0.2">
      <c r="A789" s="2">
        <v>45726</v>
      </c>
      <c r="B789" s="3" t="s">
        <v>374</v>
      </c>
      <c r="C789" s="3" t="s">
        <v>41</v>
      </c>
      <c r="D789" s="3" t="s">
        <v>24</v>
      </c>
      <c r="E789" s="3" t="s">
        <v>31</v>
      </c>
      <c r="F789" s="3" t="s">
        <v>50</v>
      </c>
      <c r="G789" s="3" t="s">
        <v>17</v>
      </c>
      <c r="H789" s="3">
        <v>2053</v>
      </c>
      <c r="I789" s="3">
        <v>290</v>
      </c>
      <c r="J789" s="3">
        <v>51</v>
      </c>
      <c r="K789" s="12">
        <v>91.63</v>
      </c>
      <c r="L789" s="9">
        <v>5429.09</v>
      </c>
      <c r="M789" s="16">
        <f t="shared" si="60"/>
        <v>0.1412566975158305</v>
      </c>
      <c r="N789" s="18">
        <f t="shared" si="61"/>
        <v>0.17586206896551723</v>
      </c>
      <c r="O789" s="8">
        <f t="shared" si="62"/>
        <v>1.7966666666666666</v>
      </c>
      <c r="P789" s="14">
        <f t="shared" si="63"/>
        <v>5337.46</v>
      </c>
      <c r="Q789" s="16">
        <f t="shared" si="64"/>
        <v>58.250136418203645</v>
      </c>
    </row>
    <row r="790" spans="1:17" x14ac:dyDescent="0.2">
      <c r="A790" s="2">
        <v>45726</v>
      </c>
      <c r="B790" s="3" t="s">
        <v>375</v>
      </c>
      <c r="C790" s="3" t="s">
        <v>54</v>
      </c>
      <c r="D790" s="3" t="s">
        <v>14</v>
      </c>
      <c r="E790" s="3" t="s">
        <v>20</v>
      </c>
      <c r="F790" s="3" t="s">
        <v>34</v>
      </c>
      <c r="G790" s="3" t="s">
        <v>17</v>
      </c>
      <c r="H790" s="3">
        <v>7508</v>
      </c>
      <c r="I790" s="3">
        <v>356</v>
      </c>
      <c r="J790" s="3">
        <v>16</v>
      </c>
      <c r="K790" s="12">
        <v>575.16999999999996</v>
      </c>
      <c r="L790" s="9">
        <v>1626.1</v>
      </c>
      <c r="M790" s="16">
        <f t="shared" si="60"/>
        <v>4.7416089504528504E-2</v>
      </c>
      <c r="N790" s="18">
        <f t="shared" si="61"/>
        <v>4.49438202247191E-2</v>
      </c>
      <c r="O790" s="8">
        <f t="shared" si="62"/>
        <v>35.948124999999997</v>
      </c>
      <c r="P790" s="14">
        <f t="shared" si="63"/>
        <v>1050.9299999999998</v>
      </c>
      <c r="Q790" s="16">
        <f t="shared" si="64"/>
        <v>1.8271641427751795</v>
      </c>
    </row>
    <row r="791" spans="1:17" x14ac:dyDescent="0.2">
      <c r="A791" s="2">
        <v>45726</v>
      </c>
      <c r="B791" s="3" t="s">
        <v>936</v>
      </c>
      <c r="C791" s="3" t="s">
        <v>74</v>
      </c>
      <c r="D791" s="3" t="s">
        <v>28</v>
      </c>
      <c r="E791" s="3" t="s">
        <v>20</v>
      </c>
      <c r="F791" s="3" t="s">
        <v>50</v>
      </c>
      <c r="G791" s="3" t="s">
        <v>21</v>
      </c>
      <c r="H791" s="3">
        <v>35226</v>
      </c>
      <c r="I791" s="3">
        <v>976</v>
      </c>
      <c r="J791" s="3">
        <v>11</v>
      </c>
      <c r="K791" s="12">
        <v>1375.68</v>
      </c>
      <c r="L791" s="9">
        <v>806.51</v>
      </c>
      <c r="M791" s="16">
        <f t="shared" si="60"/>
        <v>2.7706807471753817E-2</v>
      </c>
      <c r="N791" s="18">
        <f t="shared" si="61"/>
        <v>1.1270491803278689E-2</v>
      </c>
      <c r="O791" s="8">
        <f t="shared" si="62"/>
        <v>125.06181818181818</v>
      </c>
      <c r="P791" s="14">
        <f t="shared" si="63"/>
        <v>-569.17000000000007</v>
      </c>
      <c r="Q791" s="16">
        <f t="shared" si="64"/>
        <v>-0.41373720632705285</v>
      </c>
    </row>
    <row r="792" spans="1:17" x14ac:dyDescent="0.2">
      <c r="A792" s="2">
        <v>45727</v>
      </c>
      <c r="B792" s="3" t="s">
        <v>265</v>
      </c>
      <c r="C792" s="3" t="s">
        <v>13</v>
      </c>
      <c r="D792" s="3" t="s">
        <v>14</v>
      </c>
      <c r="E792" s="3" t="s">
        <v>15</v>
      </c>
      <c r="F792" s="3" t="s">
        <v>29</v>
      </c>
      <c r="G792" s="3" t="s">
        <v>17</v>
      </c>
      <c r="H792" s="3">
        <v>14949</v>
      </c>
      <c r="I792" s="3">
        <v>788</v>
      </c>
      <c r="J792" s="3">
        <v>16</v>
      </c>
      <c r="K792" s="12">
        <v>1468.9</v>
      </c>
      <c r="L792" s="9">
        <v>1464.95</v>
      </c>
      <c r="M792" s="16">
        <f t="shared" si="60"/>
        <v>5.2712556023814305E-2</v>
      </c>
      <c r="N792" s="18">
        <f t="shared" si="61"/>
        <v>2.030456852791878E-2</v>
      </c>
      <c r="O792" s="8">
        <f t="shared" si="62"/>
        <v>91.806250000000006</v>
      </c>
      <c r="P792" s="14">
        <f t="shared" si="63"/>
        <v>-3.9500000000000455</v>
      </c>
      <c r="Q792" s="16">
        <f t="shared" si="64"/>
        <v>-2.6890870719586393E-3</v>
      </c>
    </row>
    <row r="793" spans="1:17" x14ac:dyDescent="0.2">
      <c r="A793" s="2">
        <v>45727</v>
      </c>
      <c r="B793" s="3" t="s">
        <v>313</v>
      </c>
      <c r="C793" s="3" t="s">
        <v>58</v>
      </c>
      <c r="D793" s="3" t="s">
        <v>37</v>
      </c>
      <c r="E793" s="3" t="s">
        <v>31</v>
      </c>
      <c r="F793" s="3" t="s">
        <v>29</v>
      </c>
      <c r="G793" s="3" t="s">
        <v>21</v>
      </c>
      <c r="H793" s="3">
        <v>3798</v>
      </c>
      <c r="I793" s="3">
        <v>114</v>
      </c>
      <c r="J793" s="3">
        <v>3</v>
      </c>
      <c r="K793" s="12">
        <v>455.12</v>
      </c>
      <c r="L793" s="9">
        <v>476.01</v>
      </c>
      <c r="M793" s="16">
        <f t="shared" si="60"/>
        <v>3.0015797788309637E-2</v>
      </c>
      <c r="N793" s="18">
        <f t="shared" si="61"/>
        <v>2.6315789473684209E-2</v>
      </c>
      <c r="O793" s="8">
        <f t="shared" si="62"/>
        <v>151.70666666666668</v>
      </c>
      <c r="P793" s="14">
        <f t="shared" si="63"/>
        <v>20.889999999999986</v>
      </c>
      <c r="Q793" s="16">
        <f t="shared" si="64"/>
        <v>4.5899982422218287E-2</v>
      </c>
    </row>
    <row r="794" spans="1:17" x14ac:dyDescent="0.2">
      <c r="A794" s="2">
        <v>45727</v>
      </c>
      <c r="B794" s="3" t="s">
        <v>937</v>
      </c>
      <c r="C794" s="3" t="s">
        <v>71</v>
      </c>
      <c r="D794" s="3" t="s">
        <v>37</v>
      </c>
      <c r="E794" s="3" t="s">
        <v>20</v>
      </c>
      <c r="F794" s="3" t="s">
        <v>50</v>
      </c>
      <c r="G794" s="3" t="s">
        <v>21</v>
      </c>
      <c r="H794" s="3">
        <v>4417</v>
      </c>
      <c r="I794" s="3">
        <v>194</v>
      </c>
      <c r="J794" s="3">
        <v>3</v>
      </c>
      <c r="K794" s="12">
        <v>1212.4000000000001</v>
      </c>
      <c r="L794" s="9">
        <v>19.600000000000001</v>
      </c>
      <c r="M794" s="16">
        <f t="shared" si="60"/>
        <v>4.3921213493321259E-2</v>
      </c>
      <c r="N794" s="18">
        <f t="shared" si="61"/>
        <v>1.5463917525773196E-2</v>
      </c>
      <c r="O794" s="8">
        <f t="shared" si="62"/>
        <v>404.13333333333338</v>
      </c>
      <c r="P794" s="14">
        <f t="shared" si="63"/>
        <v>-1192.8000000000002</v>
      </c>
      <c r="Q794" s="16">
        <f t="shared" si="64"/>
        <v>-0.98383371824480381</v>
      </c>
    </row>
    <row r="795" spans="1:17" x14ac:dyDescent="0.2">
      <c r="A795" s="2">
        <v>45727</v>
      </c>
      <c r="B795" s="3" t="s">
        <v>393</v>
      </c>
      <c r="C795" s="3" t="s">
        <v>71</v>
      </c>
      <c r="D795" s="3" t="s">
        <v>37</v>
      </c>
      <c r="E795" s="3" t="s">
        <v>20</v>
      </c>
      <c r="F795" s="3" t="s">
        <v>47</v>
      </c>
      <c r="G795" s="3" t="s">
        <v>21</v>
      </c>
      <c r="H795" s="3">
        <v>6753</v>
      </c>
      <c r="I795" s="3">
        <v>277</v>
      </c>
      <c r="J795" s="3">
        <v>3</v>
      </c>
      <c r="K795" s="12">
        <v>2232.12</v>
      </c>
      <c r="L795" s="9">
        <v>482.71</v>
      </c>
      <c r="M795" s="16">
        <f t="shared" si="60"/>
        <v>4.101880645638975E-2</v>
      </c>
      <c r="N795" s="18">
        <f t="shared" si="61"/>
        <v>1.0830324909747292E-2</v>
      </c>
      <c r="O795" s="8">
        <f t="shared" si="62"/>
        <v>744.04</v>
      </c>
      <c r="P795" s="14">
        <f t="shared" si="63"/>
        <v>-1749.4099999999999</v>
      </c>
      <c r="Q795" s="16">
        <f t="shared" si="64"/>
        <v>-0.78374370553554462</v>
      </c>
    </row>
    <row r="796" spans="1:17" x14ac:dyDescent="0.2">
      <c r="A796" s="2">
        <v>45727</v>
      </c>
      <c r="B796" s="3" t="s">
        <v>194</v>
      </c>
      <c r="C796" s="3" t="s">
        <v>27</v>
      </c>
      <c r="D796" s="3" t="s">
        <v>28</v>
      </c>
      <c r="E796" s="3" t="s">
        <v>31</v>
      </c>
      <c r="F796" s="3" t="s">
        <v>50</v>
      </c>
      <c r="G796" s="3" t="s">
        <v>17</v>
      </c>
      <c r="H796" s="3">
        <v>38824</v>
      </c>
      <c r="I796" s="3">
        <v>1066</v>
      </c>
      <c r="J796" s="3">
        <v>23</v>
      </c>
      <c r="K796" s="12">
        <v>1676.06</v>
      </c>
      <c r="L796" s="9">
        <v>1352.09</v>
      </c>
      <c r="M796" s="16">
        <f t="shared" si="60"/>
        <v>2.7457242942509789E-2</v>
      </c>
      <c r="N796" s="18">
        <f t="shared" si="61"/>
        <v>2.1575984990619138E-2</v>
      </c>
      <c r="O796" s="8">
        <f t="shared" si="62"/>
        <v>72.872173913043483</v>
      </c>
      <c r="P796" s="14">
        <f t="shared" si="63"/>
        <v>-323.97000000000003</v>
      </c>
      <c r="Q796" s="16">
        <f t="shared" si="64"/>
        <v>-0.19329260289011135</v>
      </c>
    </row>
    <row r="797" spans="1:17" x14ac:dyDescent="0.2">
      <c r="A797" s="2">
        <v>45727</v>
      </c>
      <c r="B797" s="3" t="s">
        <v>139</v>
      </c>
      <c r="C797" s="3" t="s">
        <v>27</v>
      </c>
      <c r="D797" s="3" t="s">
        <v>28</v>
      </c>
      <c r="E797" s="3" t="s">
        <v>20</v>
      </c>
      <c r="F797" s="3" t="s">
        <v>16</v>
      </c>
      <c r="G797" s="3" t="s">
        <v>17</v>
      </c>
      <c r="H797" s="3">
        <v>25198</v>
      </c>
      <c r="I797" s="3">
        <v>406</v>
      </c>
      <c r="J797" s="3">
        <v>4</v>
      </c>
      <c r="K797" s="12">
        <v>454.44</v>
      </c>
      <c r="L797" s="9">
        <v>222.78</v>
      </c>
      <c r="M797" s="16">
        <f t="shared" si="60"/>
        <v>1.6112389872212082E-2</v>
      </c>
      <c r="N797" s="18">
        <f t="shared" si="61"/>
        <v>9.852216748768473E-3</v>
      </c>
      <c r="O797" s="8">
        <f t="shared" si="62"/>
        <v>113.61</v>
      </c>
      <c r="P797" s="14">
        <f t="shared" si="63"/>
        <v>-231.66</v>
      </c>
      <c r="Q797" s="16">
        <f t="shared" si="64"/>
        <v>-0.50977026670187486</v>
      </c>
    </row>
    <row r="798" spans="1:17" x14ac:dyDescent="0.2">
      <c r="A798" s="2">
        <v>45727</v>
      </c>
      <c r="B798" s="3" t="s">
        <v>938</v>
      </c>
      <c r="C798" s="3" t="s">
        <v>71</v>
      </c>
      <c r="D798" s="3" t="s">
        <v>37</v>
      </c>
      <c r="E798" s="3" t="s">
        <v>20</v>
      </c>
      <c r="F798" s="3" t="s">
        <v>29</v>
      </c>
      <c r="G798" s="3" t="s">
        <v>25</v>
      </c>
      <c r="H798" s="3">
        <v>4872</v>
      </c>
      <c r="I798" s="3">
        <v>176</v>
      </c>
      <c r="J798" s="3">
        <v>3</v>
      </c>
      <c r="K798" s="12">
        <v>1203.7</v>
      </c>
      <c r="L798" s="9">
        <v>448.18</v>
      </c>
      <c r="M798" s="16">
        <f t="shared" si="60"/>
        <v>3.6124794745484398E-2</v>
      </c>
      <c r="N798" s="18">
        <f t="shared" si="61"/>
        <v>1.7045454545454544E-2</v>
      </c>
      <c r="O798" s="8">
        <f t="shared" si="62"/>
        <v>401.23333333333335</v>
      </c>
      <c r="P798" s="14">
        <f t="shared" si="63"/>
        <v>-755.52</v>
      </c>
      <c r="Q798" s="16">
        <f t="shared" si="64"/>
        <v>-0.6276647005067707</v>
      </c>
    </row>
    <row r="799" spans="1:17" x14ac:dyDescent="0.2">
      <c r="A799" s="2">
        <v>45727</v>
      </c>
      <c r="B799" s="3" t="s">
        <v>939</v>
      </c>
      <c r="C799" s="3" t="s">
        <v>45</v>
      </c>
      <c r="D799" s="3" t="s">
        <v>46</v>
      </c>
      <c r="E799" s="3" t="s">
        <v>20</v>
      </c>
      <c r="F799" s="3" t="s">
        <v>47</v>
      </c>
      <c r="G799" s="3" t="s">
        <v>17</v>
      </c>
      <c r="H799" s="3">
        <v>15685</v>
      </c>
      <c r="I799" s="3">
        <v>504</v>
      </c>
      <c r="J799" s="3">
        <v>11</v>
      </c>
      <c r="K799" s="12">
        <v>722.73</v>
      </c>
      <c r="L799" s="9">
        <v>1001.86</v>
      </c>
      <c r="M799" s="16">
        <f t="shared" si="60"/>
        <v>3.2132610774625439E-2</v>
      </c>
      <c r="N799" s="18">
        <f t="shared" si="61"/>
        <v>2.1825396825396824E-2</v>
      </c>
      <c r="O799" s="8">
        <f t="shared" si="62"/>
        <v>65.702727272727273</v>
      </c>
      <c r="P799" s="14">
        <f t="shared" si="63"/>
        <v>279.13</v>
      </c>
      <c r="Q799" s="16">
        <f t="shared" si="64"/>
        <v>0.38621615264344911</v>
      </c>
    </row>
    <row r="800" spans="1:17" x14ac:dyDescent="0.2">
      <c r="A800" s="2">
        <v>45727</v>
      </c>
      <c r="B800" s="3" t="s">
        <v>940</v>
      </c>
      <c r="C800" s="3" t="s">
        <v>49</v>
      </c>
      <c r="D800" s="3" t="s">
        <v>46</v>
      </c>
      <c r="E800" s="3" t="s">
        <v>20</v>
      </c>
      <c r="F800" s="3" t="s">
        <v>34</v>
      </c>
      <c r="G800" s="3" t="s">
        <v>17</v>
      </c>
      <c r="H800" s="3">
        <v>8691</v>
      </c>
      <c r="I800" s="3">
        <v>312</v>
      </c>
      <c r="J800" s="3">
        <v>7</v>
      </c>
      <c r="K800" s="12">
        <v>499.74</v>
      </c>
      <c r="L800" s="9">
        <v>386.45</v>
      </c>
      <c r="M800" s="16">
        <f t="shared" si="60"/>
        <v>3.589920607525026E-2</v>
      </c>
      <c r="N800" s="18">
        <f t="shared" si="61"/>
        <v>2.2435897435897436E-2</v>
      </c>
      <c r="O800" s="8">
        <f t="shared" si="62"/>
        <v>71.391428571428577</v>
      </c>
      <c r="P800" s="14">
        <f t="shared" si="63"/>
        <v>-113.29000000000002</v>
      </c>
      <c r="Q800" s="16">
        <f t="shared" si="64"/>
        <v>-0.22669788289910758</v>
      </c>
    </row>
    <row r="801" spans="1:17" x14ac:dyDescent="0.2">
      <c r="A801" s="2">
        <v>45727</v>
      </c>
      <c r="B801" s="3" t="s">
        <v>941</v>
      </c>
      <c r="C801" s="3" t="s">
        <v>110</v>
      </c>
      <c r="D801" s="3" t="s">
        <v>24</v>
      </c>
      <c r="E801" s="3" t="s">
        <v>31</v>
      </c>
      <c r="F801" s="3" t="s">
        <v>29</v>
      </c>
      <c r="G801" s="3" t="s">
        <v>17</v>
      </c>
      <c r="H801" s="3">
        <v>1280</v>
      </c>
      <c r="I801" s="3">
        <v>162</v>
      </c>
      <c r="J801" s="3">
        <v>24</v>
      </c>
      <c r="K801" s="12">
        <v>51.28</v>
      </c>
      <c r="L801" s="9">
        <v>2574.2399999999998</v>
      </c>
      <c r="M801" s="16">
        <f t="shared" si="60"/>
        <v>0.12656249999999999</v>
      </c>
      <c r="N801" s="18">
        <f t="shared" si="61"/>
        <v>0.14814814814814814</v>
      </c>
      <c r="O801" s="8">
        <f t="shared" si="62"/>
        <v>2.1366666666666667</v>
      </c>
      <c r="P801" s="14">
        <f t="shared" si="63"/>
        <v>2522.9599999999996</v>
      </c>
      <c r="Q801" s="16">
        <f t="shared" si="64"/>
        <v>49.199687987519489</v>
      </c>
    </row>
    <row r="802" spans="1:17" x14ac:dyDescent="0.2">
      <c r="A802" s="2">
        <v>45727</v>
      </c>
      <c r="B802" s="3" t="s">
        <v>942</v>
      </c>
      <c r="C802" s="3" t="s">
        <v>36</v>
      </c>
      <c r="D802" s="3" t="s">
        <v>37</v>
      </c>
      <c r="E802" s="3" t="s">
        <v>20</v>
      </c>
      <c r="F802" s="3" t="s">
        <v>50</v>
      </c>
      <c r="G802" s="3" t="s">
        <v>17</v>
      </c>
      <c r="H802" s="3">
        <v>2294</v>
      </c>
      <c r="I802" s="3">
        <v>128</v>
      </c>
      <c r="J802" s="3">
        <v>2</v>
      </c>
      <c r="K802" s="12">
        <v>728.83</v>
      </c>
      <c r="L802" s="9">
        <v>224.63</v>
      </c>
      <c r="M802" s="16">
        <f t="shared" si="60"/>
        <v>5.5797733217088058E-2</v>
      </c>
      <c r="N802" s="18">
        <f t="shared" si="61"/>
        <v>1.5625E-2</v>
      </c>
      <c r="O802" s="8">
        <f t="shared" si="62"/>
        <v>364.41500000000002</v>
      </c>
      <c r="P802" s="14">
        <f t="shared" si="63"/>
        <v>-504.20000000000005</v>
      </c>
      <c r="Q802" s="16">
        <f t="shared" si="64"/>
        <v>-0.69179369674684088</v>
      </c>
    </row>
    <row r="803" spans="1:17" x14ac:dyDescent="0.2">
      <c r="A803" s="2">
        <v>45727</v>
      </c>
      <c r="B803" s="3" t="s">
        <v>943</v>
      </c>
      <c r="C803" s="3" t="s">
        <v>120</v>
      </c>
      <c r="D803" s="3" t="s">
        <v>14</v>
      </c>
      <c r="E803" s="3" t="s">
        <v>31</v>
      </c>
      <c r="F803" s="3" t="s">
        <v>16</v>
      </c>
      <c r="G803" s="3" t="s">
        <v>17</v>
      </c>
      <c r="H803" s="3">
        <v>6967</v>
      </c>
      <c r="I803" s="3">
        <v>408</v>
      </c>
      <c r="J803" s="3">
        <v>27</v>
      </c>
      <c r="K803" s="12">
        <v>915.49</v>
      </c>
      <c r="L803" s="9">
        <v>2520.98</v>
      </c>
      <c r="M803" s="16">
        <f t="shared" si="60"/>
        <v>5.8561791301851587E-2</v>
      </c>
      <c r="N803" s="18">
        <f t="shared" si="61"/>
        <v>6.6176470588235295E-2</v>
      </c>
      <c r="O803" s="8">
        <f t="shared" si="62"/>
        <v>33.907037037037036</v>
      </c>
      <c r="P803" s="14">
        <f t="shared" si="63"/>
        <v>1605.49</v>
      </c>
      <c r="Q803" s="16">
        <f t="shared" si="64"/>
        <v>1.7536947427060918</v>
      </c>
    </row>
    <row r="804" spans="1:17" x14ac:dyDescent="0.2">
      <c r="A804" s="2">
        <v>45728</v>
      </c>
      <c r="B804" s="3" t="s">
        <v>86</v>
      </c>
      <c r="C804" s="3" t="s">
        <v>49</v>
      </c>
      <c r="D804" s="3" t="s">
        <v>46</v>
      </c>
      <c r="E804" s="3" t="s">
        <v>20</v>
      </c>
      <c r="F804" s="3" t="s">
        <v>50</v>
      </c>
      <c r="G804" s="3" t="s">
        <v>17</v>
      </c>
      <c r="H804" s="3">
        <v>12621</v>
      </c>
      <c r="I804" s="3">
        <v>475</v>
      </c>
      <c r="J804" s="3">
        <v>5</v>
      </c>
      <c r="K804" s="12">
        <v>713.4</v>
      </c>
      <c r="L804" s="9">
        <v>308.14</v>
      </c>
      <c r="M804" s="16">
        <f t="shared" si="60"/>
        <v>3.7635686554155771E-2</v>
      </c>
      <c r="N804" s="18">
        <f t="shared" si="61"/>
        <v>1.0526315789473684E-2</v>
      </c>
      <c r="O804" s="8">
        <f t="shared" si="62"/>
        <v>142.68</v>
      </c>
      <c r="P804" s="14">
        <f t="shared" si="63"/>
        <v>-405.26</v>
      </c>
      <c r="Q804" s="16">
        <f t="shared" si="64"/>
        <v>-0.56806840482197929</v>
      </c>
    </row>
    <row r="805" spans="1:17" x14ac:dyDescent="0.2">
      <c r="A805" s="2">
        <v>45728</v>
      </c>
      <c r="B805" s="3" t="s">
        <v>944</v>
      </c>
      <c r="C805" s="3" t="s">
        <v>97</v>
      </c>
      <c r="D805" s="3" t="s">
        <v>46</v>
      </c>
      <c r="E805" s="3" t="s">
        <v>31</v>
      </c>
      <c r="F805" s="3" t="s">
        <v>50</v>
      </c>
      <c r="G805" s="3" t="s">
        <v>17</v>
      </c>
      <c r="H805" s="3">
        <v>18853</v>
      </c>
      <c r="I805" s="3">
        <v>806</v>
      </c>
      <c r="J805" s="3">
        <v>31</v>
      </c>
      <c r="K805" s="12">
        <v>1554.15</v>
      </c>
      <c r="L805" s="9">
        <v>2676.6</v>
      </c>
      <c r="M805" s="16">
        <f t="shared" si="60"/>
        <v>4.2751816686999414E-2</v>
      </c>
      <c r="N805" s="18">
        <f t="shared" si="61"/>
        <v>3.8461538461538464E-2</v>
      </c>
      <c r="O805" s="8">
        <f t="shared" si="62"/>
        <v>50.133870967741942</v>
      </c>
      <c r="P805" s="14">
        <f t="shared" si="63"/>
        <v>1122.4499999999998</v>
      </c>
      <c r="Q805" s="16">
        <f t="shared" si="64"/>
        <v>0.7222275842100182</v>
      </c>
    </row>
    <row r="806" spans="1:17" x14ac:dyDescent="0.2">
      <c r="A806" s="2">
        <v>45728</v>
      </c>
      <c r="B806" s="3" t="s">
        <v>101</v>
      </c>
      <c r="C806" s="3" t="s">
        <v>43</v>
      </c>
      <c r="D806" s="3" t="s">
        <v>37</v>
      </c>
      <c r="E806" s="3" t="s">
        <v>15</v>
      </c>
      <c r="F806" s="3" t="s">
        <v>16</v>
      </c>
      <c r="G806" s="3" t="s">
        <v>17</v>
      </c>
      <c r="H806" s="3">
        <v>6185</v>
      </c>
      <c r="I806" s="3">
        <v>139</v>
      </c>
      <c r="J806" s="3">
        <v>1</v>
      </c>
      <c r="K806" s="12">
        <v>526.35</v>
      </c>
      <c r="L806" s="9">
        <v>33.36</v>
      </c>
      <c r="M806" s="16">
        <f t="shared" si="60"/>
        <v>2.2473726758286176E-2</v>
      </c>
      <c r="N806" s="18">
        <f t="shared" si="61"/>
        <v>7.1942446043165471E-3</v>
      </c>
      <c r="O806" s="8">
        <f t="shared" si="62"/>
        <v>526.35</v>
      </c>
      <c r="P806" s="14">
        <f t="shared" si="63"/>
        <v>-492.99</v>
      </c>
      <c r="Q806" s="16">
        <f t="shared" si="64"/>
        <v>-0.93662011969222003</v>
      </c>
    </row>
    <row r="807" spans="1:17" x14ac:dyDescent="0.2">
      <c r="A807" s="2">
        <v>45728</v>
      </c>
      <c r="B807" s="3" t="s">
        <v>111</v>
      </c>
      <c r="C807" s="3" t="s">
        <v>97</v>
      </c>
      <c r="D807" s="3" t="s">
        <v>46</v>
      </c>
      <c r="E807" s="3" t="s">
        <v>20</v>
      </c>
      <c r="F807" s="3" t="s">
        <v>34</v>
      </c>
      <c r="G807" s="3" t="s">
        <v>17</v>
      </c>
      <c r="H807" s="3">
        <v>15332</v>
      </c>
      <c r="I807" s="3">
        <v>576</v>
      </c>
      <c r="J807" s="3">
        <v>9</v>
      </c>
      <c r="K807" s="12">
        <v>869.12</v>
      </c>
      <c r="L807" s="9">
        <v>592.66999999999996</v>
      </c>
      <c r="M807" s="16">
        <f t="shared" si="60"/>
        <v>3.7568484216018785E-2</v>
      </c>
      <c r="N807" s="18">
        <f t="shared" si="61"/>
        <v>1.5625E-2</v>
      </c>
      <c r="O807" s="8">
        <f t="shared" si="62"/>
        <v>96.568888888888893</v>
      </c>
      <c r="P807" s="14">
        <f t="shared" si="63"/>
        <v>-276.45000000000005</v>
      </c>
      <c r="Q807" s="16">
        <f t="shared" si="64"/>
        <v>-0.31808035714285721</v>
      </c>
    </row>
    <row r="808" spans="1:17" x14ac:dyDescent="0.2">
      <c r="A808" s="2">
        <v>45728</v>
      </c>
      <c r="B808" s="3" t="s">
        <v>505</v>
      </c>
      <c r="C808" s="3" t="s">
        <v>33</v>
      </c>
      <c r="D808" s="3" t="s">
        <v>28</v>
      </c>
      <c r="E808" s="3" t="s">
        <v>20</v>
      </c>
      <c r="F808" s="3" t="s">
        <v>29</v>
      </c>
      <c r="G808" s="3" t="s">
        <v>21</v>
      </c>
      <c r="H808" s="3">
        <v>30416</v>
      </c>
      <c r="I808" s="3">
        <v>541</v>
      </c>
      <c r="J808" s="3">
        <v>11</v>
      </c>
      <c r="K808" s="12">
        <v>455.9</v>
      </c>
      <c r="L808" s="9">
        <v>605.79</v>
      </c>
      <c r="M808" s="16">
        <f t="shared" si="60"/>
        <v>1.7786691215149922E-2</v>
      </c>
      <c r="N808" s="18">
        <f t="shared" si="61"/>
        <v>2.0332717190388171E-2</v>
      </c>
      <c r="O808" s="8">
        <f t="shared" si="62"/>
        <v>41.445454545454545</v>
      </c>
      <c r="P808" s="14">
        <f t="shared" si="63"/>
        <v>149.88999999999999</v>
      </c>
      <c r="Q808" s="16">
        <f t="shared" si="64"/>
        <v>0.32877824084228996</v>
      </c>
    </row>
    <row r="809" spans="1:17" x14ac:dyDescent="0.2">
      <c r="A809" s="2">
        <v>45728</v>
      </c>
      <c r="B809" s="3" t="s">
        <v>187</v>
      </c>
      <c r="C809" s="3" t="s">
        <v>36</v>
      </c>
      <c r="D809" s="3" t="s">
        <v>37</v>
      </c>
      <c r="E809" s="3" t="s">
        <v>20</v>
      </c>
      <c r="F809" s="3" t="s">
        <v>50</v>
      </c>
      <c r="G809" s="3" t="s">
        <v>17</v>
      </c>
      <c r="H809" s="3">
        <v>5162</v>
      </c>
      <c r="I809" s="3">
        <v>193</v>
      </c>
      <c r="J809" s="3">
        <v>2</v>
      </c>
      <c r="K809" s="12">
        <v>1195.6500000000001</v>
      </c>
      <c r="L809" s="9">
        <v>331.99</v>
      </c>
      <c r="M809" s="16">
        <f t="shared" si="60"/>
        <v>3.7388609066253388E-2</v>
      </c>
      <c r="N809" s="18">
        <f t="shared" si="61"/>
        <v>1.0362694300518135E-2</v>
      </c>
      <c r="O809" s="8">
        <f t="shared" si="62"/>
        <v>597.82500000000005</v>
      </c>
      <c r="P809" s="14">
        <f t="shared" si="63"/>
        <v>-863.66000000000008</v>
      </c>
      <c r="Q809" s="16">
        <f t="shared" si="64"/>
        <v>-0.72233513151842099</v>
      </c>
    </row>
    <row r="810" spans="1:17" x14ac:dyDescent="0.2">
      <c r="A810" s="2">
        <v>45728</v>
      </c>
      <c r="B810" s="3" t="s">
        <v>945</v>
      </c>
      <c r="C810" s="3" t="s">
        <v>45</v>
      </c>
      <c r="D810" s="3" t="s">
        <v>46</v>
      </c>
      <c r="E810" s="3" t="s">
        <v>15</v>
      </c>
      <c r="F810" s="3" t="s">
        <v>34</v>
      </c>
      <c r="G810" s="3" t="s">
        <v>21</v>
      </c>
      <c r="H810" s="3">
        <v>11443</v>
      </c>
      <c r="I810" s="3">
        <v>306</v>
      </c>
      <c r="J810" s="3">
        <v>6</v>
      </c>
      <c r="K810" s="12">
        <v>533.62</v>
      </c>
      <c r="L810" s="9">
        <v>480.47</v>
      </c>
      <c r="M810" s="16">
        <f t="shared" si="60"/>
        <v>2.674123918552827E-2</v>
      </c>
      <c r="N810" s="18">
        <f t="shared" si="61"/>
        <v>1.9607843137254902E-2</v>
      </c>
      <c r="O810" s="8">
        <f t="shared" si="62"/>
        <v>88.936666666666667</v>
      </c>
      <c r="P810" s="14">
        <f t="shared" si="63"/>
        <v>-53.149999999999977</v>
      </c>
      <c r="Q810" s="16">
        <f t="shared" si="64"/>
        <v>-9.9602713541471419E-2</v>
      </c>
    </row>
    <row r="811" spans="1:17" x14ac:dyDescent="0.2">
      <c r="A811" s="2">
        <v>45728</v>
      </c>
      <c r="B811" s="3" t="s">
        <v>946</v>
      </c>
      <c r="C811" s="3" t="s">
        <v>156</v>
      </c>
      <c r="D811" s="3" t="s">
        <v>46</v>
      </c>
      <c r="E811" s="3" t="s">
        <v>15</v>
      </c>
      <c r="F811" s="3" t="s">
        <v>50</v>
      </c>
      <c r="G811" s="3" t="s">
        <v>17</v>
      </c>
      <c r="H811" s="3">
        <v>13137</v>
      </c>
      <c r="I811" s="3">
        <v>270</v>
      </c>
      <c r="J811" s="3">
        <v>6</v>
      </c>
      <c r="K811" s="12">
        <v>392.52</v>
      </c>
      <c r="L811" s="9">
        <v>407.78</v>
      </c>
      <c r="M811" s="16">
        <f t="shared" si="60"/>
        <v>2.0552637588490522E-2</v>
      </c>
      <c r="N811" s="18">
        <f t="shared" si="61"/>
        <v>2.2222222222222223E-2</v>
      </c>
      <c r="O811" s="8">
        <f t="shared" si="62"/>
        <v>65.42</v>
      </c>
      <c r="P811" s="14">
        <f t="shared" si="63"/>
        <v>15.259999999999991</v>
      </c>
      <c r="Q811" s="16">
        <f t="shared" si="64"/>
        <v>3.8876999898094344E-2</v>
      </c>
    </row>
    <row r="812" spans="1:17" x14ac:dyDescent="0.2">
      <c r="A812" s="2">
        <v>45728</v>
      </c>
      <c r="B812" s="3" t="s">
        <v>947</v>
      </c>
      <c r="C812" s="3" t="s">
        <v>156</v>
      </c>
      <c r="D812" s="3" t="s">
        <v>46</v>
      </c>
      <c r="E812" s="3" t="s">
        <v>20</v>
      </c>
      <c r="F812" s="3" t="s">
        <v>16</v>
      </c>
      <c r="G812" s="3" t="s">
        <v>17</v>
      </c>
      <c r="H812" s="3">
        <v>10933</v>
      </c>
      <c r="I812" s="3">
        <v>281</v>
      </c>
      <c r="J812" s="3">
        <v>5</v>
      </c>
      <c r="K812" s="12">
        <v>288.08999999999997</v>
      </c>
      <c r="L812" s="9">
        <v>317.92</v>
      </c>
      <c r="M812" s="16">
        <f t="shared" si="60"/>
        <v>2.5702003109850911E-2</v>
      </c>
      <c r="N812" s="18">
        <f t="shared" si="61"/>
        <v>1.7793594306049824E-2</v>
      </c>
      <c r="O812" s="8">
        <f t="shared" si="62"/>
        <v>57.617999999999995</v>
      </c>
      <c r="P812" s="14">
        <f t="shared" si="63"/>
        <v>29.830000000000041</v>
      </c>
      <c r="Q812" s="16">
        <f t="shared" si="64"/>
        <v>0.10354403137908308</v>
      </c>
    </row>
    <row r="813" spans="1:17" x14ac:dyDescent="0.2">
      <c r="A813" s="2">
        <v>45728</v>
      </c>
      <c r="B813" s="3" t="s">
        <v>38</v>
      </c>
      <c r="C813" s="3" t="s">
        <v>74</v>
      </c>
      <c r="D813" s="3" t="s">
        <v>28</v>
      </c>
      <c r="E813" s="3" t="s">
        <v>20</v>
      </c>
      <c r="F813" s="3" t="s">
        <v>47</v>
      </c>
      <c r="G813" s="3" t="s">
        <v>17</v>
      </c>
      <c r="H813" s="3">
        <v>31621</v>
      </c>
      <c r="I813" s="3">
        <v>823</v>
      </c>
      <c r="J813" s="3">
        <v>7</v>
      </c>
      <c r="K813" s="12">
        <v>768.49</v>
      </c>
      <c r="L813" s="9">
        <v>312.07</v>
      </c>
      <c r="M813" s="16">
        <f t="shared" si="60"/>
        <v>2.602700736852092E-2</v>
      </c>
      <c r="N813" s="18">
        <f t="shared" si="61"/>
        <v>8.5054678007290396E-3</v>
      </c>
      <c r="O813" s="8">
        <f t="shared" si="62"/>
        <v>109.78428571428572</v>
      </c>
      <c r="P813" s="14">
        <f t="shared" si="63"/>
        <v>-456.42</v>
      </c>
      <c r="Q813" s="16">
        <f t="shared" si="64"/>
        <v>-0.59391794297908884</v>
      </c>
    </row>
    <row r="814" spans="1:17" x14ac:dyDescent="0.2">
      <c r="A814" s="2">
        <v>45729</v>
      </c>
      <c r="B814" s="3" t="s">
        <v>288</v>
      </c>
      <c r="C814" s="3" t="s">
        <v>74</v>
      </c>
      <c r="D814" s="3" t="s">
        <v>28</v>
      </c>
      <c r="E814" s="3" t="s">
        <v>15</v>
      </c>
      <c r="F814" s="3" t="s">
        <v>29</v>
      </c>
      <c r="G814" s="3" t="s">
        <v>21</v>
      </c>
      <c r="H814" s="3">
        <v>20768</v>
      </c>
      <c r="I814" s="3">
        <v>107</v>
      </c>
      <c r="J814" s="3">
        <v>1</v>
      </c>
      <c r="K814" s="12">
        <v>138.5</v>
      </c>
      <c r="L814" s="9">
        <v>61.11</v>
      </c>
      <c r="M814" s="16">
        <f t="shared" si="60"/>
        <v>5.1521571648690291E-3</v>
      </c>
      <c r="N814" s="18">
        <f t="shared" si="61"/>
        <v>9.3457943925233638E-3</v>
      </c>
      <c r="O814" s="8">
        <f t="shared" si="62"/>
        <v>138.5</v>
      </c>
      <c r="P814" s="14">
        <f t="shared" si="63"/>
        <v>-77.39</v>
      </c>
      <c r="Q814" s="16">
        <f t="shared" si="64"/>
        <v>-0.55877256317689528</v>
      </c>
    </row>
    <row r="815" spans="1:17" x14ac:dyDescent="0.2">
      <c r="A815" s="2">
        <v>45729</v>
      </c>
      <c r="B815" s="3" t="s">
        <v>948</v>
      </c>
      <c r="C815" s="3" t="s">
        <v>71</v>
      </c>
      <c r="D815" s="3" t="s">
        <v>37</v>
      </c>
      <c r="E815" s="3" t="s">
        <v>20</v>
      </c>
      <c r="F815" s="3" t="s">
        <v>47</v>
      </c>
      <c r="G815" s="3" t="s">
        <v>17</v>
      </c>
      <c r="H815" s="3">
        <v>6351</v>
      </c>
      <c r="I815" s="3">
        <v>315</v>
      </c>
      <c r="J815" s="3">
        <v>4</v>
      </c>
      <c r="K815" s="12">
        <v>2209.5</v>
      </c>
      <c r="L815" s="9">
        <v>766.57</v>
      </c>
      <c r="M815" s="16">
        <f t="shared" si="60"/>
        <v>4.9598488427019367E-2</v>
      </c>
      <c r="N815" s="18">
        <f t="shared" si="61"/>
        <v>1.2698412698412698E-2</v>
      </c>
      <c r="O815" s="8">
        <f t="shared" si="62"/>
        <v>552.375</v>
      </c>
      <c r="P815" s="14">
        <f t="shared" si="63"/>
        <v>-1442.9299999999998</v>
      </c>
      <c r="Q815" s="16">
        <f t="shared" si="64"/>
        <v>-0.65305725277212034</v>
      </c>
    </row>
    <row r="816" spans="1:17" x14ac:dyDescent="0.2">
      <c r="A816" s="2">
        <v>45729</v>
      </c>
      <c r="B816" s="3" t="s">
        <v>241</v>
      </c>
      <c r="C816" s="3" t="s">
        <v>39</v>
      </c>
      <c r="D816" s="3" t="s">
        <v>28</v>
      </c>
      <c r="E816" s="3" t="s">
        <v>20</v>
      </c>
      <c r="F816" s="3" t="s">
        <v>34</v>
      </c>
      <c r="G816" s="3" t="s">
        <v>17</v>
      </c>
      <c r="H816" s="3">
        <v>19734</v>
      </c>
      <c r="I816" s="3">
        <v>281</v>
      </c>
      <c r="J816" s="3">
        <v>3</v>
      </c>
      <c r="K816" s="12">
        <v>345.83</v>
      </c>
      <c r="L816" s="9">
        <v>219.6</v>
      </c>
      <c r="M816" s="16">
        <f t="shared" si="60"/>
        <v>1.4239383804601196E-2</v>
      </c>
      <c r="N816" s="18">
        <f t="shared" si="61"/>
        <v>1.0676156583629894E-2</v>
      </c>
      <c r="O816" s="8">
        <f t="shared" si="62"/>
        <v>115.27666666666666</v>
      </c>
      <c r="P816" s="14">
        <f t="shared" si="63"/>
        <v>-126.22999999999999</v>
      </c>
      <c r="Q816" s="16">
        <f t="shared" si="64"/>
        <v>-0.36500592776797847</v>
      </c>
    </row>
    <row r="817" spans="1:17" x14ac:dyDescent="0.2">
      <c r="A817" s="2">
        <v>45729</v>
      </c>
      <c r="B817" s="3" t="s">
        <v>42</v>
      </c>
      <c r="C817" s="3" t="s">
        <v>23</v>
      </c>
      <c r="D817" s="3" t="s">
        <v>24</v>
      </c>
      <c r="E817" s="3" t="s">
        <v>20</v>
      </c>
      <c r="F817" s="3" t="s">
        <v>29</v>
      </c>
      <c r="G817" s="3" t="s">
        <v>17</v>
      </c>
      <c r="H817" s="3">
        <v>2216</v>
      </c>
      <c r="I817" s="3">
        <v>201</v>
      </c>
      <c r="J817" s="3">
        <v>18</v>
      </c>
      <c r="K817" s="12">
        <v>89.83</v>
      </c>
      <c r="L817" s="9">
        <v>1734.76</v>
      </c>
      <c r="M817" s="16">
        <f t="shared" si="60"/>
        <v>9.0703971119133572E-2</v>
      </c>
      <c r="N817" s="18">
        <f t="shared" si="61"/>
        <v>8.9552238805970144E-2</v>
      </c>
      <c r="O817" s="8">
        <f t="shared" si="62"/>
        <v>4.9905555555555559</v>
      </c>
      <c r="P817" s="14">
        <f t="shared" si="63"/>
        <v>1644.93</v>
      </c>
      <c r="Q817" s="16">
        <f t="shared" si="64"/>
        <v>18.311588556161638</v>
      </c>
    </row>
    <row r="818" spans="1:17" x14ac:dyDescent="0.2">
      <c r="A818" s="2">
        <v>45729</v>
      </c>
      <c r="B818" s="3" t="s">
        <v>949</v>
      </c>
      <c r="C818" s="3" t="s">
        <v>74</v>
      </c>
      <c r="D818" s="3" t="s">
        <v>28</v>
      </c>
      <c r="E818" s="3" t="s">
        <v>31</v>
      </c>
      <c r="F818" s="3" t="s">
        <v>34</v>
      </c>
      <c r="G818" s="3" t="s">
        <v>25</v>
      </c>
      <c r="H818" s="3">
        <v>19015</v>
      </c>
      <c r="I818" s="3">
        <v>288</v>
      </c>
      <c r="J818" s="3">
        <v>6</v>
      </c>
      <c r="K818" s="12">
        <v>394.96</v>
      </c>
      <c r="L818" s="9">
        <v>277.98</v>
      </c>
      <c r="M818" s="16">
        <f t="shared" si="60"/>
        <v>1.5145937417828031E-2</v>
      </c>
      <c r="N818" s="18">
        <f t="shared" si="61"/>
        <v>2.0833333333333332E-2</v>
      </c>
      <c r="O818" s="8">
        <f t="shared" si="62"/>
        <v>65.826666666666668</v>
      </c>
      <c r="P818" s="14">
        <f t="shared" si="63"/>
        <v>-116.97999999999996</v>
      </c>
      <c r="Q818" s="16">
        <f t="shared" si="64"/>
        <v>-0.29618189183714799</v>
      </c>
    </row>
    <row r="819" spans="1:17" x14ac:dyDescent="0.2">
      <c r="A819" s="2">
        <v>45729</v>
      </c>
      <c r="B819" s="3" t="s">
        <v>950</v>
      </c>
      <c r="C819" s="3" t="s">
        <v>49</v>
      </c>
      <c r="D819" s="3" t="s">
        <v>46</v>
      </c>
      <c r="E819" s="3" t="s">
        <v>20</v>
      </c>
      <c r="F819" s="3" t="s">
        <v>16</v>
      </c>
      <c r="G819" s="3" t="s">
        <v>17</v>
      </c>
      <c r="H819" s="3">
        <v>15033</v>
      </c>
      <c r="I819" s="3">
        <v>522</v>
      </c>
      <c r="J819" s="3">
        <v>11</v>
      </c>
      <c r="K819" s="12">
        <v>644.80999999999995</v>
      </c>
      <c r="L819" s="9">
        <v>907.01</v>
      </c>
      <c r="M819" s="16">
        <f t="shared" si="60"/>
        <v>3.4723608062263024E-2</v>
      </c>
      <c r="N819" s="18">
        <f t="shared" si="61"/>
        <v>2.1072796934865901E-2</v>
      </c>
      <c r="O819" s="8">
        <f t="shared" si="62"/>
        <v>58.619090909090907</v>
      </c>
      <c r="P819" s="14">
        <f t="shared" si="63"/>
        <v>262.20000000000005</v>
      </c>
      <c r="Q819" s="16">
        <f t="shared" si="64"/>
        <v>0.40663141080318244</v>
      </c>
    </row>
    <row r="820" spans="1:17" x14ac:dyDescent="0.2">
      <c r="A820" s="2">
        <v>45729</v>
      </c>
      <c r="B820" s="3" t="s">
        <v>468</v>
      </c>
      <c r="C820" s="3" t="s">
        <v>120</v>
      </c>
      <c r="D820" s="3" t="s">
        <v>14</v>
      </c>
      <c r="E820" s="3" t="s">
        <v>20</v>
      </c>
      <c r="F820" s="3" t="s">
        <v>50</v>
      </c>
      <c r="G820" s="3" t="s">
        <v>17</v>
      </c>
      <c r="H820" s="3">
        <v>7486</v>
      </c>
      <c r="I820" s="3">
        <v>509</v>
      </c>
      <c r="J820" s="3">
        <v>19</v>
      </c>
      <c r="K820" s="12">
        <v>1306.72</v>
      </c>
      <c r="L820" s="9">
        <v>1704.91</v>
      </c>
      <c r="M820" s="16">
        <f t="shared" si="60"/>
        <v>6.7993588030991189E-2</v>
      </c>
      <c r="N820" s="18">
        <f t="shared" si="61"/>
        <v>3.732809430255403E-2</v>
      </c>
      <c r="O820" s="8">
        <f t="shared" si="62"/>
        <v>68.77473684210527</v>
      </c>
      <c r="P820" s="14">
        <f t="shared" si="63"/>
        <v>398.19000000000005</v>
      </c>
      <c r="Q820" s="16">
        <f t="shared" si="64"/>
        <v>0.30472480715072858</v>
      </c>
    </row>
    <row r="821" spans="1:17" x14ac:dyDescent="0.2">
      <c r="A821" s="2">
        <v>45729</v>
      </c>
      <c r="B821" s="3" t="s">
        <v>951</v>
      </c>
      <c r="C821" s="3" t="s">
        <v>54</v>
      </c>
      <c r="D821" s="3" t="s">
        <v>14</v>
      </c>
      <c r="E821" s="3" t="s">
        <v>20</v>
      </c>
      <c r="F821" s="3" t="s">
        <v>47</v>
      </c>
      <c r="G821" s="3" t="s">
        <v>17</v>
      </c>
      <c r="H821" s="3">
        <v>7262</v>
      </c>
      <c r="I821" s="3">
        <v>312</v>
      </c>
      <c r="J821" s="3">
        <v>14</v>
      </c>
      <c r="K821" s="12">
        <v>492.97</v>
      </c>
      <c r="L821" s="9">
        <v>993.71</v>
      </c>
      <c r="M821" s="16">
        <f t="shared" si="60"/>
        <v>4.2963370972183973E-2</v>
      </c>
      <c r="N821" s="18">
        <f t="shared" si="61"/>
        <v>4.4871794871794872E-2</v>
      </c>
      <c r="O821" s="8">
        <f t="shared" si="62"/>
        <v>35.212142857142858</v>
      </c>
      <c r="P821" s="14">
        <f t="shared" si="63"/>
        <v>500.74</v>
      </c>
      <c r="Q821" s="16">
        <f t="shared" si="64"/>
        <v>1.0157616082114529</v>
      </c>
    </row>
    <row r="822" spans="1:17" x14ac:dyDescent="0.2">
      <c r="A822" s="2">
        <v>45730</v>
      </c>
      <c r="B822" s="3" t="s">
        <v>952</v>
      </c>
      <c r="C822" s="3" t="s">
        <v>52</v>
      </c>
      <c r="D822" s="3" t="s">
        <v>24</v>
      </c>
      <c r="E822" s="3" t="s">
        <v>15</v>
      </c>
      <c r="F822" s="3" t="s">
        <v>16</v>
      </c>
      <c r="G822" s="3" t="s">
        <v>21</v>
      </c>
      <c r="H822" s="3">
        <v>4032</v>
      </c>
      <c r="I822" s="3">
        <v>464</v>
      </c>
      <c r="J822" s="3">
        <v>55</v>
      </c>
      <c r="K822" s="12">
        <v>114.34</v>
      </c>
      <c r="L822" s="9">
        <v>6404.47</v>
      </c>
      <c r="M822" s="16">
        <f t="shared" si="60"/>
        <v>0.11507936507936507</v>
      </c>
      <c r="N822" s="18">
        <f t="shared" si="61"/>
        <v>0.11853448275862069</v>
      </c>
      <c r="O822" s="8">
        <f t="shared" si="62"/>
        <v>2.0789090909090908</v>
      </c>
      <c r="P822" s="14">
        <f t="shared" si="63"/>
        <v>6290.13</v>
      </c>
      <c r="Q822" s="16">
        <f t="shared" si="64"/>
        <v>55.012506559384292</v>
      </c>
    </row>
    <row r="823" spans="1:17" x14ac:dyDescent="0.2">
      <c r="A823" s="2">
        <v>45730</v>
      </c>
      <c r="B823" s="3" t="s">
        <v>953</v>
      </c>
      <c r="C823" s="3" t="s">
        <v>52</v>
      </c>
      <c r="D823" s="3" t="s">
        <v>24</v>
      </c>
      <c r="E823" s="3" t="s">
        <v>20</v>
      </c>
      <c r="F823" s="3" t="s">
        <v>29</v>
      </c>
      <c r="G823" s="3" t="s">
        <v>21</v>
      </c>
      <c r="H823" s="3">
        <v>1233</v>
      </c>
      <c r="I823" s="3">
        <v>159</v>
      </c>
      <c r="J823" s="3">
        <v>20</v>
      </c>
      <c r="K823" s="12">
        <v>60.64</v>
      </c>
      <c r="L823" s="9">
        <v>3061.61</v>
      </c>
      <c r="M823" s="16">
        <f t="shared" si="60"/>
        <v>0.12895377128953772</v>
      </c>
      <c r="N823" s="18">
        <f t="shared" si="61"/>
        <v>0.12578616352201258</v>
      </c>
      <c r="O823" s="8">
        <f t="shared" si="62"/>
        <v>3.032</v>
      </c>
      <c r="P823" s="14">
        <f t="shared" si="63"/>
        <v>3000.9700000000003</v>
      </c>
      <c r="Q823" s="16">
        <f t="shared" si="64"/>
        <v>49.488291556728235</v>
      </c>
    </row>
    <row r="824" spans="1:17" x14ac:dyDescent="0.2">
      <c r="A824" s="2">
        <v>45730</v>
      </c>
      <c r="B824" s="3" t="s">
        <v>102</v>
      </c>
      <c r="C824" s="3" t="s">
        <v>52</v>
      </c>
      <c r="D824" s="3" t="s">
        <v>24</v>
      </c>
      <c r="E824" s="3" t="s">
        <v>15</v>
      </c>
      <c r="F824" s="3" t="s">
        <v>16</v>
      </c>
      <c r="G824" s="3" t="s">
        <v>21</v>
      </c>
      <c r="H824" s="3">
        <v>1793</v>
      </c>
      <c r="I824" s="3">
        <v>211</v>
      </c>
      <c r="J824" s="3">
        <v>14</v>
      </c>
      <c r="K824" s="12">
        <v>41.83</v>
      </c>
      <c r="L824" s="9">
        <v>1709.52</v>
      </c>
      <c r="M824" s="16">
        <f t="shared" si="60"/>
        <v>0.11767986614612382</v>
      </c>
      <c r="N824" s="18">
        <f t="shared" si="61"/>
        <v>6.6350710900473939E-2</v>
      </c>
      <c r="O824" s="8">
        <f t="shared" si="62"/>
        <v>2.9878571428571425</v>
      </c>
      <c r="P824" s="14">
        <f t="shared" si="63"/>
        <v>1667.69</v>
      </c>
      <c r="Q824" s="16">
        <f t="shared" si="64"/>
        <v>39.868276356681811</v>
      </c>
    </row>
    <row r="825" spans="1:17" x14ac:dyDescent="0.2">
      <c r="A825" s="2">
        <v>45730</v>
      </c>
      <c r="B825" s="3" t="s">
        <v>129</v>
      </c>
      <c r="C825" s="3" t="s">
        <v>120</v>
      </c>
      <c r="D825" s="3" t="s">
        <v>14</v>
      </c>
      <c r="E825" s="3" t="s">
        <v>31</v>
      </c>
      <c r="F825" s="3" t="s">
        <v>29</v>
      </c>
      <c r="G825" s="3" t="s">
        <v>17</v>
      </c>
      <c r="H825" s="3">
        <v>11204</v>
      </c>
      <c r="I825" s="3">
        <v>603</v>
      </c>
      <c r="J825" s="3">
        <v>35</v>
      </c>
      <c r="K825" s="12">
        <v>1740.21</v>
      </c>
      <c r="L825" s="9">
        <v>3929.32</v>
      </c>
      <c r="M825" s="16">
        <f t="shared" si="60"/>
        <v>5.3820064262763298E-2</v>
      </c>
      <c r="N825" s="18">
        <f t="shared" si="61"/>
        <v>5.8043117744610281E-2</v>
      </c>
      <c r="O825" s="8">
        <f t="shared" si="62"/>
        <v>49.720285714285716</v>
      </c>
      <c r="P825" s="14">
        <f t="shared" si="63"/>
        <v>2189.11</v>
      </c>
      <c r="Q825" s="16">
        <f t="shared" si="64"/>
        <v>1.2579573729607347</v>
      </c>
    </row>
    <row r="826" spans="1:17" x14ac:dyDescent="0.2">
      <c r="A826" s="2">
        <v>45730</v>
      </c>
      <c r="B826" s="3" t="s">
        <v>954</v>
      </c>
      <c r="C826" s="3" t="s">
        <v>52</v>
      </c>
      <c r="D826" s="3" t="s">
        <v>24</v>
      </c>
      <c r="E826" s="3" t="s">
        <v>15</v>
      </c>
      <c r="F826" s="3" t="s">
        <v>16</v>
      </c>
      <c r="G826" s="3" t="s">
        <v>17</v>
      </c>
      <c r="H826" s="3">
        <v>3623</v>
      </c>
      <c r="I826" s="3">
        <v>422</v>
      </c>
      <c r="J826" s="3">
        <v>35</v>
      </c>
      <c r="K826" s="12">
        <v>191.87</v>
      </c>
      <c r="L826" s="9">
        <v>3190.17</v>
      </c>
      <c r="M826" s="16">
        <f t="shared" si="60"/>
        <v>0.11647805685895667</v>
      </c>
      <c r="N826" s="18">
        <f t="shared" si="61"/>
        <v>8.2938388625592413E-2</v>
      </c>
      <c r="O826" s="8">
        <f t="shared" si="62"/>
        <v>5.4820000000000002</v>
      </c>
      <c r="P826" s="14">
        <f t="shared" si="63"/>
        <v>2998.3</v>
      </c>
      <c r="Q826" s="16">
        <f t="shared" si="64"/>
        <v>15.626726429353209</v>
      </c>
    </row>
    <row r="827" spans="1:17" x14ac:dyDescent="0.2">
      <c r="A827" s="2">
        <v>45730</v>
      </c>
      <c r="B827" s="3" t="s">
        <v>955</v>
      </c>
      <c r="C827" s="3" t="s">
        <v>41</v>
      </c>
      <c r="D827" s="3" t="s">
        <v>24</v>
      </c>
      <c r="E827" s="3" t="s">
        <v>20</v>
      </c>
      <c r="F827" s="3" t="s">
        <v>47</v>
      </c>
      <c r="G827" s="3" t="s">
        <v>17</v>
      </c>
      <c r="H827" s="3">
        <v>3043</v>
      </c>
      <c r="I827" s="3">
        <v>286</v>
      </c>
      <c r="J827" s="3">
        <v>26</v>
      </c>
      <c r="K827" s="12">
        <v>87.11</v>
      </c>
      <c r="L827" s="9">
        <v>2444.4899999999998</v>
      </c>
      <c r="M827" s="16">
        <f t="shared" si="60"/>
        <v>9.3986197831087748E-2</v>
      </c>
      <c r="N827" s="18">
        <f t="shared" si="61"/>
        <v>9.0909090909090912E-2</v>
      </c>
      <c r="O827" s="8">
        <f t="shared" si="62"/>
        <v>3.3503846153846153</v>
      </c>
      <c r="P827" s="14">
        <f t="shared" si="63"/>
        <v>2357.3799999999997</v>
      </c>
      <c r="Q827" s="16">
        <f t="shared" si="64"/>
        <v>27.062105383997242</v>
      </c>
    </row>
    <row r="828" spans="1:17" x14ac:dyDescent="0.2">
      <c r="A828" s="2">
        <v>45730</v>
      </c>
      <c r="B828" s="3" t="s">
        <v>310</v>
      </c>
      <c r="C828" s="3" t="s">
        <v>45</v>
      </c>
      <c r="D828" s="3" t="s">
        <v>46</v>
      </c>
      <c r="E828" s="3" t="s">
        <v>15</v>
      </c>
      <c r="F828" s="3" t="s">
        <v>16</v>
      </c>
      <c r="G828" s="3" t="s">
        <v>21</v>
      </c>
      <c r="H828" s="3">
        <v>8260</v>
      </c>
      <c r="I828" s="3">
        <v>256</v>
      </c>
      <c r="J828" s="3">
        <v>6</v>
      </c>
      <c r="K828" s="12">
        <v>339.82</v>
      </c>
      <c r="L828" s="9">
        <v>320.74</v>
      </c>
      <c r="M828" s="16">
        <f t="shared" si="60"/>
        <v>3.099273607748184E-2</v>
      </c>
      <c r="N828" s="18">
        <f t="shared" si="61"/>
        <v>2.34375E-2</v>
      </c>
      <c r="O828" s="8">
        <f t="shared" si="62"/>
        <v>56.636666666666663</v>
      </c>
      <c r="P828" s="14">
        <f t="shared" si="63"/>
        <v>-19.079999999999984</v>
      </c>
      <c r="Q828" s="16">
        <f t="shared" si="64"/>
        <v>-5.6147372138190758E-2</v>
      </c>
    </row>
    <row r="829" spans="1:17" x14ac:dyDescent="0.2">
      <c r="A829" s="2">
        <v>45730</v>
      </c>
      <c r="B829" s="3" t="s">
        <v>407</v>
      </c>
      <c r="C829" s="3" t="s">
        <v>27</v>
      </c>
      <c r="D829" s="3" t="s">
        <v>28</v>
      </c>
      <c r="E829" s="3" t="s">
        <v>15</v>
      </c>
      <c r="F829" s="3" t="s">
        <v>29</v>
      </c>
      <c r="G829" s="3" t="s">
        <v>21</v>
      </c>
      <c r="H829" s="3">
        <v>20814</v>
      </c>
      <c r="I829" s="3">
        <v>287</v>
      </c>
      <c r="J829" s="3">
        <v>3</v>
      </c>
      <c r="K829" s="12">
        <v>322.04000000000002</v>
      </c>
      <c r="L829" s="9">
        <v>212.22</v>
      </c>
      <c r="M829" s="16">
        <f t="shared" si="60"/>
        <v>1.3788796002690496E-2</v>
      </c>
      <c r="N829" s="18">
        <f t="shared" si="61"/>
        <v>1.0452961672473868E-2</v>
      </c>
      <c r="O829" s="8">
        <f t="shared" si="62"/>
        <v>107.34666666666668</v>
      </c>
      <c r="P829" s="14">
        <f t="shared" si="63"/>
        <v>-109.82000000000002</v>
      </c>
      <c r="Q829" s="16">
        <f t="shared" si="64"/>
        <v>-0.34101353869084589</v>
      </c>
    </row>
    <row r="830" spans="1:17" x14ac:dyDescent="0.2">
      <c r="A830" s="2">
        <v>45730</v>
      </c>
      <c r="B830" s="3" t="s">
        <v>258</v>
      </c>
      <c r="C830" s="3" t="s">
        <v>49</v>
      </c>
      <c r="D830" s="3" t="s">
        <v>46</v>
      </c>
      <c r="E830" s="3" t="s">
        <v>15</v>
      </c>
      <c r="F830" s="3" t="s">
        <v>29</v>
      </c>
      <c r="G830" s="3" t="s">
        <v>21</v>
      </c>
      <c r="H830" s="3">
        <v>9769</v>
      </c>
      <c r="I830" s="3">
        <v>183</v>
      </c>
      <c r="J830" s="3">
        <v>2</v>
      </c>
      <c r="K830" s="12">
        <v>305.77999999999997</v>
      </c>
      <c r="L830" s="9">
        <v>106.73</v>
      </c>
      <c r="M830" s="16">
        <f t="shared" si="60"/>
        <v>1.8732725969904801E-2</v>
      </c>
      <c r="N830" s="18">
        <f t="shared" si="61"/>
        <v>1.092896174863388E-2</v>
      </c>
      <c r="O830" s="8">
        <f t="shared" si="62"/>
        <v>152.88999999999999</v>
      </c>
      <c r="P830" s="14">
        <f t="shared" si="63"/>
        <v>-199.04999999999995</v>
      </c>
      <c r="Q830" s="16">
        <f t="shared" si="64"/>
        <v>-0.65095820524560133</v>
      </c>
    </row>
    <row r="831" spans="1:17" x14ac:dyDescent="0.2">
      <c r="A831" s="2">
        <v>45730</v>
      </c>
      <c r="B831" s="3" t="s">
        <v>956</v>
      </c>
      <c r="C831" s="3" t="s">
        <v>54</v>
      </c>
      <c r="D831" s="3" t="s">
        <v>14</v>
      </c>
      <c r="E831" s="3" t="s">
        <v>20</v>
      </c>
      <c r="F831" s="3" t="s">
        <v>16</v>
      </c>
      <c r="G831" s="3" t="s">
        <v>17</v>
      </c>
      <c r="H831" s="3">
        <v>13682</v>
      </c>
      <c r="I831" s="3">
        <v>718</v>
      </c>
      <c r="J831" s="3">
        <v>31</v>
      </c>
      <c r="K831" s="12">
        <v>1462.76</v>
      </c>
      <c r="L831" s="9">
        <v>2806.36</v>
      </c>
      <c r="M831" s="16">
        <f t="shared" si="60"/>
        <v>5.2477707937436044E-2</v>
      </c>
      <c r="N831" s="18">
        <f t="shared" si="61"/>
        <v>4.3175487465181059E-2</v>
      </c>
      <c r="O831" s="8">
        <f t="shared" si="62"/>
        <v>47.185806451612905</v>
      </c>
      <c r="P831" s="14">
        <f t="shared" si="63"/>
        <v>1343.6000000000001</v>
      </c>
      <c r="Q831" s="16">
        <f t="shared" si="64"/>
        <v>0.91853755913478641</v>
      </c>
    </row>
    <row r="832" spans="1:17" x14ac:dyDescent="0.2">
      <c r="A832" s="2">
        <v>45731</v>
      </c>
      <c r="B832" s="3" t="s">
        <v>44</v>
      </c>
      <c r="C832" s="3" t="s">
        <v>156</v>
      </c>
      <c r="D832" s="3" t="s">
        <v>46</v>
      </c>
      <c r="E832" s="3" t="s">
        <v>20</v>
      </c>
      <c r="F832" s="3" t="s">
        <v>16</v>
      </c>
      <c r="G832" s="3" t="s">
        <v>17</v>
      </c>
      <c r="H832" s="3">
        <v>8699</v>
      </c>
      <c r="I832" s="3">
        <v>253</v>
      </c>
      <c r="J832" s="3">
        <v>6</v>
      </c>
      <c r="K832" s="12">
        <v>415.22</v>
      </c>
      <c r="L832" s="9">
        <v>499.29</v>
      </c>
      <c r="M832" s="16">
        <f t="shared" si="60"/>
        <v>2.908380273594666E-2</v>
      </c>
      <c r="N832" s="18">
        <f t="shared" si="61"/>
        <v>2.3715415019762844E-2</v>
      </c>
      <c r="O832" s="8">
        <f t="shared" si="62"/>
        <v>69.203333333333333</v>
      </c>
      <c r="P832" s="14">
        <f t="shared" si="63"/>
        <v>84.07</v>
      </c>
      <c r="Q832" s="16">
        <f t="shared" si="64"/>
        <v>0.20247097923992097</v>
      </c>
    </row>
    <row r="833" spans="1:17" x14ac:dyDescent="0.2">
      <c r="A833" s="2">
        <v>45731</v>
      </c>
      <c r="B833" s="3" t="s">
        <v>957</v>
      </c>
      <c r="C833" s="3" t="s">
        <v>110</v>
      </c>
      <c r="D833" s="3" t="s">
        <v>24</v>
      </c>
      <c r="E833" s="3" t="s">
        <v>20</v>
      </c>
      <c r="F833" s="3" t="s">
        <v>47</v>
      </c>
      <c r="G833" s="3" t="s">
        <v>21</v>
      </c>
      <c r="H833" s="3">
        <v>2649</v>
      </c>
      <c r="I833" s="3">
        <v>324</v>
      </c>
      <c r="J833" s="3">
        <v>39</v>
      </c>
      <c r="K833" s="12">
        <v>123.56</v>
      </c>
      <c r="L833" s="9">
        <v>5252.11</v>
      </c>
      <c r="M833" s="16">
        <f t="shared" si="60"/>
        <v>0.12231030577576443</v>
      </c>
      <c r="N833" s="18">
        <f t="shared" si="61"/>
        <v>0.12037037037037036</v>
      </c>
      <c r="O833" s="8">
        <f t="shared" si="62"/>
        <v>3.1682051282051282</v>
      </c>
      <c r="P833" s="14">
        <f t="shared" si="63"/>
        <v>5128.5499999999993</v>
      </c>
      <c r="Q833" s="16">
        <f t="shared" si="64"/>
        <v>41.506555519585618</v>
      </c>
    </row>
    <row r="834" spans="1:17" x14ac:dyDescent="0.2">
      <c r="A834" s="2">
        <v>45731</v>
      </c>
      <c r="B834" s="3" t="s">
        <v>958</v>
      </c>
      <c r="C834" s="3" t="s">
        <v>33</v>
      </c>
      <c r="D834" s="3" t="s">
        <v>28</v>
      </c>
      <c r="E834" s="3" t="s">
        <v>20</v>
      </c>
      <c r="F834" s="3" t="s">
        <v>47</v>
      </c>
      <c r="G834" s="3" t="s">
        <v>21</v>
      </c>
      <c r="H834" s="3">
        <v>26750</v>
      </c>
      <c r="I834" s="3">
        <v>618</v>
      </c>
      <c r="J834" s="3">
        <v>12</v>
      </c>
      <c r="K834" s="12">
        <v>849.93</v>
      </c>
      <c r="L834" s="9">
        <v>907.86</v>
      </c>
      <c r="M834" s="16">
        <f t="shared" si="60"/>
        <v>2.3102803738317756E-2</v>
      </c>
      <c r="N834" s="18">
        <f t="shared" si="61"/>
        <v>1.9417475728155338E-2</v>
      </c>
      <c r="O834" s="8">
        <f t="shared" si="62"/>
        <v>70.827500000000001</v>
      </c>
      <c r="P834" s="14">
        <f t="shared" si="63"/>
        <v>57.930000000000064</v>
      </c>
      <c r="Q834" s="16">
        <f t="shared" si="64"/>
        <v>6.8158554233878163E-2</v>
      </c>
    </row>
    <row r="835" spans="1:17" x14ac:dyDescent="0.2">
      <c r="A835" s="2">
        <v>45731</v>
      </c>
      <c r="B835" s="3" t="s">
        <v>184</v>
      </c>
      <c r="C835" s="3" t="s">
        <v>23</v>
      </c>
      <c r="D835" s="3" t="s">
        <v>24</v>
      </c>
      <c r="E835" s="3" t="s">
        <v>20</v>
      </c>
      <c r="F835" s="3" t="s">
        <v>47</v>
      </c>
      <c r="G835" s="3" t="s">
        <v>17</v>
      </c>
      <c r="H835" s="3">
        <v>3967</v>
      </c>
      <c r="I835" s="3">
        <v>507</v>
      </c>
      <c r="J835" s="3">
        <v>69</v>
      </c>
      <c r="K835" s="12">
        <v>113.38</v>
      </c>
      <c r="L835" s="9">
        <v>7173.81</v>
      </c>
      <c r="M835" s="16">
        <f t="shared" ref="M835:M898" si="65">IFERROR(I835/H835,0)</f>
        <v>0.12780438618603479</v>
      </c>
      <c r="N835" s="18">
        <f t="shared" ref="N835:N898" si="66">IFERROR(J835/I835,0)</f>
        <v>0.13609467455621302</v>
      </c>
      <c r="O835" s="8">
        <f t="shared" ref="O835:O898" si="67">IFERROR(K835/J835,0)</f>
        <v>1.6431884057971013</v>
      </c>
      <c r="P835" s="14">
        <f t="shared" ref="P835:P898" si="68">L835-K835</f>
        <v>7060.43</v>
      </c>
      <c r="Q835" s="16">
        <f t="shared" ref="Q835:Q898" si="69">IFERROR((L835-K835)/K835,0)</f>
        <v>62.272270241665204</v>
      </c>
    </row>
    <row r="836" spans="1:17" x14ac:dyDescent="0.2">
      <c r="A836" s="2">
        <v>45731</v>
      </c>
      <c r="B836" s="3" t="s">
        <v>959</v>
      </c>
      <c r="C836" s="3" t="s">
        <v>97</v>
      </c>
      <c r="D836" s="3" t="s">
        <v>46</v>
      </c>
      <c r="E836" s="3" t="s">
        <v>15</v>
      </c>
      <c r="F836" s="3" t="s">
        <v>50</v>
      </c>
      <c r="G836" s="3" t="s">
        <v>25</v>
      </c>
      <c r="H836" s="3">
        <v>18551</v>
      </c>
      <c r="I836" s="3">
        <v>493</v>
      </c>
      <c r="J836" s="3">
        <v>10</v>
      </c>
      <c r="K836" s="12">
        <v>883.53</v>
      </c>
      <c r="L836" s="9">
        <v>537.91</v>
      </c>
      <c r="M836" s="16">
        <f t="shared" si="65"/>
        <v>2.6575386771602608E-2</v>
      </c>
      <c r="N836" s="18">
        <f t="shared" si="66"/>
        <v>2.0283975659229209E-2</v>
      </c>
      <c r="O836" s="8">
        <f t="shared" si="67"/>
        <v>88.352999999999994</v>
      </c>
      <c r="P836" s="14">
        <f t="shared" si="68"/>
        <v>-345.62</v>
      </c>
      <c r="Q836" s="16">
        <f t="shared" si="69"/>
        <v>-0.39118083143752902</v>
      </c>
    </row>
    <row r="837" spans="1:17" x14ac:dyDescent="0.2">
      <c r="A837" s="2">
        <v>45731</v>
      </c>
      <c r="B837" s="3" t="s">
        <v>960</v>
      </c>
      <c r="C837" s="3" t="s">
        <v>58</v>
      </c>
      <c r="D837" s="3" t="s">
        <v>37</v>
      </c>
      <c r="E837" s="3" t="s">
        <v>20</v>
      </c>
      <c r="F837" s="3" t="s">
        <v>16</v>
      </c>
      <c r="G837" s="3" t="s">
        <v>21</v>
      </c>
      <c r="H837" s="3">
        <v>6551</v>
      </c>
      <c r="I837" s="3">
        <v>164</v>
      </c>
      <c r="J837" s="3">
        <v>4</v>
      </c>
      <c r="K837" s="12">
        <v>709.03</v>
      </c>
      <c r="L837" s="9">
        <v>432.21</v>
      </c>
      <c r="M837" s="16">
        <f t="shared" si="65"/>
        <v>2.5034345901389102E-2</v>
      </c>
      <c r="N837" s="18">
        <f t="shared" si="66"/>
        <v>2.4390243902439025E-2</v>
      </c>
      <c r="O837" s="8">
        <f t="shared" si="67"/>
        <v>177.25749999999999</v>
      </c>
      <c r="P837" s="14">
        <f t="shared" si="68"/>
        <v>-276.82</v>
      </c>
      <c r="Q837" s="16">
        <f t="shared" si="69"/>
        <v>-0.39042071562557296</v>
      </c>
    </row>
    <row r="838" spans="1:17" x14ac:dyDescent="0.2">
      <c r="A838" s="2">
        <v>45731</v>
      </c>
      <c r="B838" s="3" t="s">
        <v>95</v>
      </c>
      <c r="C838" s="3" t="s">
        <v>36</v>
      </c>
      <c r="D838" s="3" t="s">
        <v>37</v>
      </c>
      <c r="E838" s="3" t="s">
        <v>20</v>
      </c>
      <c r="F838" s="3" t="s">
        <v>16</v>
      </c>
      <c r="G838" s="3" t="s">
        <v>25</v>
      </c>
      <c r="H838" s="3">
        <v>5813</v>
      </c>
      <c r="I838" s="3">
        <v>148</v>
      </c>
      <c r="J838" s="3">
        <v>2</v>
      </c>
      <c r="K838" s="12">
        <v>625.13</v>
      </c>
      <c r="L838" s="9">
        <v>387.23</v>
      </c>
      <c r="M838" s="16">
        <f t="shared" si="65"/>
        <v>2.546017546877688E-2</v>
      </c>
      <c r="N838" s="18">
        <f t="shared" si="66"/>
        <v>1.3513513513513514E-2</v>
      </c>
      <c r="O838" s="8">
        <f t="shared" si="67"/>
        <v>312.565</v>
      </c>
      <c r="P838" s="14">
        <f t="shared" si="68"/>
        <v>-237.89999999999998</v>
      </c>
      <c r="Q838" s="16">
        <f t="shared" si="69"/>
        <v>-0.38056084334458429</v>
      </c>
    </row>
    <row r="839" spans="1:17" x14ac:dyDescent="0.2">
      <c r="A839" s="2">
        <v>45732</v>
      </c>
      <c r="B839" s="3" t="s">
        <v>961</v>
      </c>
      <c r="C839" s="3" t="s">
        <v>71</v>
      </c>
      <c r="D839" s="3" t="s">
        <v>37</v>
      </c>
      <c r="E839" s="3" t="s">
        <v>20</v>
      </c>
      <c r="F839" s="3" t="s">
        <v>29</v>
      </c>
      <c r="G839" s="3" t="s">
        <v>21</v>
      </c>
      <c r="H839" s="3">
        <v>6645</v>
      </c>
      <c r="I839" s="3">
        <v>168</v>
      </c>
      <c r="J839" s="3">
        <v>4</v>
      </c>
      <c r="K839" s="12">
        <v>1003.1</v>
      </c>
      <c r="L839" s="9">
        <v>808.34</v>
      </c>
      <c r="M839" s="16">
        <f t="shared" si="65"/>
        <v>2.5282167042889391E-2</v>
      </c>
      <c r="N839" s="18">
        <f t="shared" si="66"/>
        <v>2.3809523809523808E-2</v>
      </c>
      <c r="O839" s="8">
        <f t="shared" si="67"/>
        <v>250.77500000000001</v>
      </c>
      <c r="P839" s="14">
        <f t="shared" si="68"/>
        <v>-194.76</v>
      </c>
      <c r="Q839" s="16">
        <f t="shared" si="69"/>
        <v>-0.19415810985943574</v>
      </c>
    </row>
    <row r="840" spans="1:17" x14ac:dyDescent="0.2">
      <c r="A840" s="2">
        <v>45732</v>
      </c>
      <c r="B840" s="3" t="s">
        <v>962</v>
      </c>
      <c r="C840" s="3" t="s">
        <v>45</v>
      </c>
      <c r="D840" s="3" t="s">
        <v>46</v>
      </c>
      <c r="E840" s="3" t="s">
        <v>31</v>
      </c>
      <c r="F840" s="3" t="s">
        <v>29</v>
      </c>
      <c r="G840" s="3" t="s">
        <v>21</v>
      </c>
      <c r="H840" s="3">
        <v>8182</v>
      </c>
      <c r="I840" s="3">
        <v>167</v>
      </c>
      <c r="J840" s="3">
        <v>9</v>
      </c>
      <c r="K840" s="12">
        <v>252.96</v>
      </c>
      <c r="L840" s="9">
        <v>548.5</v>
      </c>
      <c r="M840" s="16">
        <f t="shared" si="65"/>
        <v>2.0410657540943535E-2</v>
      </c>
      <c r="N840" s="18">
        <f t="shared" si="66"/>
        <v>5.3892215568862277E-2</v>
      </c>
      <c r="O840" s="8">
        <f t="shared" si="67"/>
        <v>28.106666666666669</v>
      </c>
      <c r="P840" s="14">
        <f t="shared" si="68"/>
        <v>295.53999999999996</v>
      </c>
      <c r="Q840" s="16">
        <f t="shared" si="69"/>
        <v>1.1683270082226438</v>
      </c>
    </row>
    <row r="841" spans="1:17" x14ac:dyDescent="0.2">
      <c r="A841" s="2">
        <v>45732</v>
      </c>
      <c r="B841" s="3" t="s">
        <v>82</v>
      </c>
      <c r="C841" s="3" t="s">
        <v>97</v>
      </c>
      <c r="D841" s="3" t="s">
        <v>46</v>
      </c>
      <c r="E841" s="3" t="s">
        <v>31</v>
      </c>
      <c r="F841" s="3" t="s">
        <v>50</v>
      </c>
      <c r="G841" s="3" t="s">
        <v>17</v>
      </c>
      <c r="H841" s="3">
        <v>11816</v>
      </c>
      <c r="I841" s="3">
        <v>438</v>
      </c>
      <c r="J841" s="3">
        <v>19</v>
      </c>
      <c r="K841" s="12">
        <v>548.54999999999995</v>
      </c>
      <c r="L841" s="9">
        <v>1233.6500000000001</v>
      </c>
      <c r="M841" s="16">
        <f t="shared" si="65"/>
        <v>3.7068381855111715E-2</v>
      </c>
      <c r="N841" s="18">
        <f t="shared" si="66"/>
        <v>4.3378995433789952E-2</v>
      </c>
      <c r="O841" s="8">
        <f t="shared" si="67"/>
        <v>28.871052631578944</v>
      </c>
      <c r="P841" s="14">
        <f t="shared" si="68"/>
        <v>685.10000000000014</v>
      </c>
      <c r="Q841" s="16">
        <f t="shared" si="69"/>
        <v>1.2489289946221862</v>
      </c>
    </row>
    <row r="842" spans="1:17" x14ac:dyDescent="0.2">
      <c r="A842" s="2">
        <v>45732</v>
      </c>
      <c r="B842" s="3" t="s">
        <v>963</v>
      </c>
      <c r="C842" s="3" t="s">
        <v>52</v>
      </c>
      <c r="D842" s="3" t="s">
        <v>24</v>
      </c>
      <c r="E842" s="3" t="s">
        <v>15</v>
      </c>
      <c r="F842" s="3" t="s">
        <v>16</v>
      </c>
      <c r="G842" s="3" t="s">
        <v>17</v>
      </c>
      <c r="H842" s="3">
        <v>4399</v>
      </c>
      <c r="I842" s="3">
        <v>421</v>
      </c>
      <c r="J842" s="3">
        <v>42</v>
      </c>
      <c r="K842" s="12">
        <v>99.81</v>
      </c>
      <c r="L842" s="9">
        <v>5551.44</v>
      </c>
      <c r="M842" s="16">
        <f t="shared" si="65"/>
        <v>9.5703568992952945E-2</v>
      </c>
      <c r="N842" s="18">
        <f t="shared" si="66"/>
        <v>9.9762470308788598E-2</v>
      </c>
      <c r="O842" s="8">
        <f t="shared" si="67"/>
        <v>2.3764285714285713</v>
      </c>
      <c r="P842" s="14">
        <f t="shared" si="68"/>
        <v>5451.6299999999992</v>
      </c>
      <c r="Q842" s="16">
        <f t="shared" si="69"/>
        <v>54.620078148482108</v>
      </c>
    </row>
    <row r="843" spans="1:17" x14ac:dyDescent="0.2">
      <c r="A843" s="2">
        <v>45732</v>
      </c>
      <c r="B843" s="3" t="s">
        <v>964</v>
      </c>
      <c r="C843" s="3" t="s">
        <v>13</v>
      </c>
      <c r="D843" s="3" t="s">
        <v>14</v>
      </c>
      <c r="E843" s="3" t="s">
        <v>31</v>
      </c>
      <c r="F843" s="3" t="s">
        <v>16</v>
      </c>
      <c r="G843" s="3" t="s">
        <v>17</v>
      </c>
      <c r="H843" s="3">
        <v>10719</v>
      </c>
      <c r="I843" s="3">
        <v>413</v>
      </c>
      <c r="J843" s="3">
        <v>15</v>
      </c>
      <c r="K843" s="12">
        <v>893.77</v>
      </c>
      <c r="L843" s="9">
        <v>1263.92</v>
      </c>
      <c r="M843" s="16">
        <f t="shared" si="65"/>
        <v>3.8529713592685887E-2</v>
      </c>
      <c r="N843" s="18">
        <f t="shared" si="66"/>
        <v>3.6319612590799029E-2</v>
      </c>
      <c r="O843" s="8">
        <f t="shared" si="67"/>
        <v>59.584666666666664</v>
      </c>
      <c r="P843" s="14">
        <f t="shared" si="68"/>
        <v>370.15000000000009</v>
      </c>
      <c r="Q843" s="16">
        <f t="shared" si="69"/>
        <v>0.41414457858285697</v>
      </c>
    </row>
    <row r="844" spans="1:17" x14ac:dyDescent="0.2">
      <c r="A844" s="2">
        <v>45732</v>
      </c>
      <c r="B844" s="3" t="s">
        <v>965</v>
      </c>
      <c r="C844" s="3" t="s">
        <v>49</v>
      </c>
      <c r="D844" s="3" t="s">
        <v>46</v>
      </c>
      <c r="E844" s="3" t="s">
        <v>31</v>
      </c>
      <c r="F844" s="3" t="s">
        <v>50</v>
      </c>
      <c r="G844" s="3" t="s">
        <v>17</v>
      </c>
      <c r="H844" s="3">
        <v>17702</v>
      </c>
      <c r="I844" s="3">
        <v>814</v>
      </c>
      <c r="J844" s="3">
        <v>36</v>
      </c>
      <c r="K844" s="12">
        <v>1438.01</v>
      </c>
      <c r="L844" s="9">
        <v>3288.36</v>
      </c>
      <c r="M844" s="16">
        <f t="shared" si="65"/>
        <v>4.5983504688735737E-2</v>
      </c>
      <c r="N844" s="18">
        <f t="shared" si="66"/>
        <v>4.4226044226044224E-2</v>
      </c>
      <c r="O844" s="8">
        <f t="shared" si="67"/>
        <v>39.944722222222225</v>
      </c>
      <c r="P844" s="14">
        <f t="shared" si="68"/>
        <v>1850.3500000000001</v>
      </c>
      <c r="Q844" s="16">
        <f t="shared" si="69"/>
        <v>1.2867434857893896</v>
      </c>
    </row>
    <row r="845" spans="1:17" x14ac:dyDescent="0.2">
      <c r="A845" s="2">
        <v>45733</v>
      </c>
      <c r="B845" s="3" t="s">
        <v>966</v>
      </c>
      <c r="C845" s="3" t="s">
        <v>43</v>
      </c>
      <c r="D845" s="3" t="s">
        <v>37</v>
      </c>
      <c r="E845" s="3" t="s">
        <v>31</v>
      </c>
      <c r="F845" s="3" t="s">
        <v>34</v>
      </c>
      <c r="G845" s="3" t="s">
        <v>17</v>
      </c>
      <c r="H845" s="3">
        <v>4182</v>
      </c>
      <c r="I845" s="3">
        <v>190</v>
      </c>
      <c r="J845" s="3">
        <v>2</v>
      </c>
      <c r="K845" s="12">
        <v>910.15</v>
      </c>
      <c r="L845" s="9">
        <v>278.24</v>
      </c>
      <c r="M845" s="16">
        <f t="shared" si="65"/>
        <v>4.5432807269249163E-2</v>
      </c>
      <c r="N845" s="18">
        <f t="shared" si="66"/>
        <v>1.0526315789473684E-2</v>
      </c>
      <c r="O845" s="8">
        <f t="shared" si="67"/>
        <v>455.07499999999999</v>
      </c>
      <c r="P845" s="14">
        <f t="shared" si="68"/>
        <v>-631.91</v>
      </c>
      <c r="Q845" s="16">
        <f t="shared" si="69"/>
        <v>-0.69429214964566277</v>
      </c>
    </row>
    <row r="846" spans="1:17" x14ac:dyDescent="0.2">
      <c r="A846" s="2">
        <v>45733</v>
      </c>
      <c r="B846" s="3" t="s">
        <v>368</v>
      </c>
      <c r="C846" s="3" t="s">
        <v>74</v>
      </c>
      <c r="D846" s="3" t="s">
        <v>28</v>
      </c>
      <c r="E846" s="3" t="s">
        <v>31</v>
      </c>
      <c r="F846" s="3" t="s">
        <v>34</v>
      </c>
      <c r="G846" s="3" t="s">
        <v>21</v>
      </c>
      <c r="H846" s="3">
        <v>15814</v>
      </c>
      <c r="I846" s="3">
        <v>217</v>
      </c>
      <c r="J846" s="3">
        <v>4</v>
      </c>
      <c r="K846" s="12">
        <v>307.20999999999998</v>
      </c>
      <c r="L846" s="9">
        <v>213.26</v>
      </c>
      <c r="M846" s="16">
        <f t="shared" si="65"/>
        <v>1.3722018464651575E-2</v>
      </c>
      <c r="N846" s="18">
        <f t="shared" si="66"/>
        <v>1.8433179723502304E-2</v>
      </c>
      <c r="O846" s="8">
        <f t="shared" si="67"/>
        <v>76.802499999999995</v>
      </c>
      <c r="P846" s="14">
        <f t="shared" si="68"/>
        <v>-93.949999999999989</v>
      </c>
      <c r="Q846" s="16">
        <f t="shared" si="69"/>
        <v>-0.30581686794049673</v>
      </c>
    </row>
    <row r="847" spans="1:17" x14ac:dyDescent="0.2">
      <c r="A847" s="2">
        <v>45733</v>
      </c>
      <c r="B847" s="3" t="s">
        <v>967</v>
      </c>
      <c r="C847" s="3" t="s">
        <v>156</v>
      </c>
      <c r="D847" s="3" t="s">
        <v>46</v>
      </c>
      <c r="E847" s="3" t="s">
        <v>15</v>
      </c>
      <c r="F847" s="3" t="s">
        <v>29</v>
      </c>
      <c r="G847" s="3" t="s">
        <v>21</v>
      </c>
      <c r="H847" s="3">
        <v>12723</v>
      </c>
      <c r="I847" s="3">
        <v>258</v>
      </c>
      <c r="J847" s="3">
        <v>4</v>
      </c>
      <c r="K847" s="12">
        <v>351.31</v>
      </c>
      <c r="L847" s="9">
        <v>206.4</v>
      </c>
      <c r="M847" s="16">
        <f t="shared" si="65"/>
        <v>2.0278236265031831E-2</v>
      </c>
      <c r="N847" s="18">
        <f t="shared" si="66"/>
        <v>1.5503875968992248E-2</v>
      </c>
      <c r="O847" s="8">
        <f t="shared" si="67"/>
        <v>87.827500000000001</v>
      </c>
      <c r="P847" s="14">
        <f t="shared" si="68"/>
        <v>-144.91</v>
      </c>
      <c r="Q847" s="16">
        <f t="shared" si="69"/>
        <v>-0.41248470012239902</v>
      </c>
    </row>
    <row r="848" spans="1:17" x14ac:dyDescent="0.2">
      <c r="A848" s="2">
        <v>45733</v>
      </c>
      <c r="B848" s="3" t="s">
        <v>329</v>
      </c>
      <c r="C848" s="3" t="s">
        <v>36</v>
      </c>
      <c r="D848" s="3" t="s">
        <v>37</v>
      </c>
      <c r="E848" s="3" t="s">
        <v>31</v>
      </c>
      <c r="F848" s="3" t="s">
        <v>16</v>
      </c>
      <c r="G848" s="3" t="s">
        <v>17</v>
      </c>
      <c r="H848" s="3">
        <v>6712</v>
      </c>
      <c r="I848" s="3">
        <v>190</v>
      </c>
      <c r="J848" s="3">
        <v>6</v>
      </c>
      <c r="K848" s="12">
        <v>1249.8599999999999</v>
      </c>
      <c r="L848" s="9">
        <v>1028.3800000000001</v>
      </c>
      <c r="M848" s="16">
        <f t="shared" si="65"/>
        <v>2.8307508939213348E-2</v>
      </c>
      <c r="N848" s="18">
        <f t="shared" si="66"/>
        <v>3.1578947368421054E-2</v>
      </c>
      <c r="O848" s="8">
        <f t="shared" si="67"/>
        <v>208.30999999999997</v>
      </c>
      <c r="P848" s="14">
        <f t="shared" si="68"/>
        <v>-221.47999999999979</v>
      </c>
      <c r="Q848" s="16">
        <f t="shared" si="69"/>
        <v>-0.17720384683084489</v>
      </c>
    </row>
    <row r="849" spans="1:17" x14ac:dyDescent="0.2">
      <c r="A849" s="2">
        <v>45733</v>
      </c>
      <c r="B849" s="3" t="s">
        <v>387</v>
      </c>
      <c r="C849" s="3" t="s">
        <v>27</v>
      </c>
      <c r="D849" s="3" t="s">
        <v>28</v>
      </c>
      <c r="E849" s="3" t="s">
        <v>15</v>
      </c>
      <c r="F849" s="3" t="s">
        <v>47</v>
      </c>
      <c r="G849" s="3" t="s">
        <v>17</v>
      </c>
      <c r="H849" s="3">
        <v>28185</v>
      </c>
      <c r="I849" s="3">
        <v>692</v>
      </c>
      <c r="J849" s="3">
        <v>7</v>
      </c>
      <c r="K849" s="12">
        <v>687.45</v>
      </c>
      <c r="L849" s="9">
        <v>461.25</v>
      </c>
      <c r="M849" s="16">
        <f t="shared" si="65"/>
        <v>2.4552066702146533E-2</v>
      </c>
      <c r="N849" s="18">
        <f t="shared" si="66"/>
        <v>1.0115606936416185E-2</v>
      </c>
      <c r="O849" s="8">
        <f t="shared" si="67"/>
        <v>98.20714285714287</v>
      </c>
      <c r="P849" s="14">
        <f t="shared" si="68"/>
        <v>-226.20000000000005</v>
      </c>
      <c r="Q849" s="16">
        <f t="shared" si="69"/>
        <v>-0.32904211215361123</v>
      </c>
    </row>
    <row r="850" spans="1:17" x14ac:dyDescent="0.2">
      <c r="A850" s="2">
        <v>45733</v>
      </c>
      <c r="B850" s="3" t="s">
        <v>968</v>
      </c>
      <c r="C850" s="3" t="s">
        <v>71</v>
      </c>
      <c r="D850" s="3" t="s">
        <v>37</v>
      </c>
      <c r="E850" s="3" t="s">
        <v>15</v>
      </c>
      <c r="F850" s="3" t="s">
        <v>47</v>
      </c>
      <c r="G850" s="3" t="s">
        <v>17</v>
      </c>
      <c r="H850" s="3">
        <v>6452</v>
      </c>
      <c r="I850" s="3">
        <v>263</v>
      </c>
      <c r="J850" s="3">
        <v>2</v>
      </c>
      <c r="K850" s="12">
        <v>1878.45</v>
      </c>
      <c r="L850" s="9">
        <v>280.67</v>
      </c>
      <c r="M850" s="16">
        <f t="shared" si="65"/>
        <v>4.0762554246745193E-2</v>
      </c>
      <c r="N850" s="18">
        <f t="shared" si="66"/>
        <v>7.6045627376425855E-3</v>
      </c>
      <c r="O850" s="8">
        <f t="shared" si="67"/>
        <v>939.22500000000002</v>
      </c>
      <c r="P850" s="14">
        <f t="shared" si="68"/>
        <v>-1597.78</v>
      </c>
      <c r="Q850" s="16">
        <f t="shared" si="69"/>
        <v>-0.85058425829806483</v>
      </c>
    </row>
    <row r="851" spans="1:17" x14ac:dyDescent="0.2">
      <c r="A851" s="2">
        <v>45733</v>
      </c>
      <c r="B851" s="3" t="s">
        <v>35</v>
      </c>
      <c r="C851" s="3" t="s">
        <v>54</v>
      </c>
      <c r="D851" s="3" t="s">
        <v>14</v>
      </c>
      <c r="E851" s="3" t="s">
        <v>31</v>
      </c>
      <c r="F851" s="3" t="s">
        <v>34</v>
      </c>
      <c r="G851" s="3" t="s">
        <v>21</v>
      </c>
      <c r="H851" s="3">
        <v>8875</v>
      </c>
      <c r="I851" s="3">
        <v>382</v>
      </c>
      <c r="J851" s="3">
        <v>20</v>
      </c>
      <c r="K851" s="12">
        <v>548.36</v>
      </c>
      <c r="L851" s="9">
        <v>2364.1</v>
      </c>
      <c r="M851" s="16">
        <f t="shared" si="65"/>
        <v>4.3042253521126762E-2</v>
      </c>
      <c r="N851" s="18">
        <f t="shared" si="66"/>
        <v>5.2356020942408377E-2</v>
      </c>
      <c r="O851" s="8">
        <f t="shared" si="67"/>
        <v>27.417999999999999</v>
      </c>
      <c r="P851" s="14">
        <f t="shared" si="68"/>
        <v>1815.7399999999998</v>
      </c>
      <c r="Q851" s="16">
        <f t="shared" si="69"/>
        <v>3.3112189072871829</v>
      </c>
    </row>
    <row r="852" spans="1:17" x14ac:dyDescent="0.2">
      <c r="A852" s="2">
        <v>45733</v>
      </c>
      <c r="B852" s="3" t="s">
        <v>969</v>
      </c>
      <c r="C852" s="3" t="s">
        <v>27</v>
      </c>
      <c r="D852" s="3" t="s">
        <v>28</v>
      </c>
      <c r="E852" s="3" t="s">
        <v>31</v>
      </c>
      <c r="F852" s="3" t="s">
        <v>34</v>
      </c>
      <c r="G852" s="3" t="s">
        <v>21</v>
      </c>
      <c r="H852" s="3">
        <v>23960</v>
      </c>
      <c r="I852" s="3">
        <v>287</v>
      </c>
      <c r="J852" s="3">
        <v>8</v>
      </c>
      <c r="K852" s="12">
        <v>280.17</v>
      </c>
      <c r="L852" s="9">
        <v>444.12</v>
      </c>
      <c r="M852" s="16">
        <f t="shared" si="65"/>
        <v>1.197829716193656E-2</v>
      </c>
      <c r="N852" s="18">
        <f t="shared" si="66"/>
        <v>2.7874564459930314E-2</v>
      </c>
      <c r="O852" s="8">
        <f t="shared" si="67"/>
        <v>35.021250000000002</v>
      </c>
      <c r="P852" s="14">
        <f t="shared" si="68"/>
        <v>163.95</v>
      </c>
      <c r="Q852" s="16">
        <f t="shared" si="69"/>
        <v>0.58518042616982535</v>
      </c>
    </row>
    <row r="853" spans="1:17" x14ac:dyDescent="0.2">
      <c r="A853" s="2">
        <v>45733</v>
      </c>
      <c r="B853" s="3" t="s">
        <v>547</v>
      </c>
      <c r="C853" s="3" t="s">
        <v>33</v>
      </c>
      <c r="D853" s="3" t="s">
        <v>28</v>
      </c>
      <c r="E853" s="3" t="s">
        <v>20</v>
      </c>
      <c r="F853" s="3" t="s">
        <v>34</v>
      </c>
      <c r="G853" s="3" t="s">
        <v>21</v>
      </c>
      <c r="H853" s="3">
        <v>23014</v>
      </c>
      <c r="I853" s="3">
        <v>705</v>
      </c>
      <c r="J853" s="3">
        <v>10</v>
      </c>
      <c r="K853" s="12">
        <v>927.51</v>
      </c>
      <c r="L853" s="9">
        <v>700.75</v>
      </c>
      <c r="M853" s="16">
        <f t="shared" si="65"/>
        <v>3.0633527418093335E-2</v>
      </c>
      <c r="N853" s="18">
        <f t="shared" si="66"/>
        <v>1.4184397163120567E-2</v>
      </c>
      <c r="O853" s="8">
        <f t="shared" si="67"/>
        <v>92.751000000000005</v>
      </c>
      <c r="P853" s="14">
        <f t="shared" si="68"/>
        <v>-226.76</v>
      </c>
      <c r="Q853" s="16">
        <f t="shared" si="69"/>
        <v>-0.24448253927181376</v>
      </c>
    </row>
    <row r="854" spans="1:17" x14ac:dyDescent="0.2">
      <c r="A854" s="2">
        <v>45734</v>
      </c>
      <c r="B854" s="3" t="s">
        <v>970</v>
      </c>
      <c r="C854" s="3" t="s">
        <v>39</v>
      </c>
      <c r="D854" s="3" t="s">
        <v>28</v>
      </c>
      <c r="E854" s="3" t="s">
        <v>15</v>
      </c>
      <c r="F854" s="3" t="s">
        <v>34</v>
      </c>
      <c r="G854" s="3" t="s">
        <v>17</v>
      </c>
      <c r="H854" s="3">
        <v>34458</v>
      </c>
      <c r="I854" s="3">
        <v>1025</v>
      </c>
      <c r="J854" s="3">
        <v>4</v>
      </c>
      <c r="K854" s="12">
        <v>1098.23</v>
      </c>
      <c r="L854" s="9">
        <v>242.52</v>
      </c>
      <c r="M854" s="16">
        <f t="shared" si="65"/>
        <v>2.9746357884961404E-2</v>
      </c>
      <c r="N854" s="18">
        <f t="shared" si="66"/>
        <v>3.9024390243902439E-3</v>
      </c>
      <c r="O854" s="8">
        <f t="shared" si="67"/>
        <v>274.5575</v>
      </c>
      <c r="P854" s="14">
        <f t="shared" si="68"/>
        <v>-855.71</v>
      </c>
      <c r="Q854" s="16">
        <f t="shared" si="69"/>
        <v>-0.77917194030394366</v>
      </c>
    </row>
    <row r="855" spans="1:17" x14ac:dyDescent="0.2">
      <c r="A855" s="2">
        <v>45734</v>
      </c>
      <c r="B855" s="3" t="s">
        <v>971</v>
      </c>
      <c r="C855" s="3" t="s">
        <v>71</v>
      </c>
      <c r="D855" s="3" t="s">
        <v>37</v>
      </c>
      <c r="E855" s="3" t="s">
        <v>20</v>
      </c>
      <c r="F855" s="3" t="s">
        <v>16</v>
      </c>
      <c r="G855" s="3" t="s">
        <v>17</v>
      </c>
      <c r="H855" s="3">
        <v>5941</v>
      </c>
      <c r="I855" s="3">
        <v>156</v>
      </c>
      <c r="J855" s="3">
        <v>2</v>
      </c>
      <c r="K855" s="12">
        <v>862.16</v>
      </c>
      <c r="L855" s="9">
        <v>238.45</v>
      </c>
      <c r="M855" s="16">
        <f t="shared" si="65"/>
        <v>2.6258205689277898E-2</v>
      </c>
      <c r="N855" s="18">
        <f t="shared" si="66"/>
        <v>1.282051282051282E-2</v>
      </c>
      <c r="O855" s="8">
        <f t="shared" si="67"/>
        <v>431.08</v>
      </c>
      <c r="P855" s="14">
        <f t="shared" si="68"/>
        <v>-623.71</v>
      </c>
      <c r="Q855" s="16">
        <f t="shared" si="69"/>
        <v>-0.72342720608703726</v>
      </c>
    </row>
    <row r="856" spans="1:17" x14ac:dyDescent="0.2">
      <c r="A856" s="2">
        <v>45734</v>
      </c>
      <c r="B856" s="3" t="s">
        <v>517</v>
      </c>
      <c r="C856" s="3" t="s">
        <v>54</v>
      </c>
      <c r="D856" s="3" t="s">
        <v>14</v>
      </c>
      <c r="E856" s="3" t="s">
        <v>20</v>
      </c>
      <c r="F856" s="3" t="s">
        <v>47</v>
      </c>
      <c r="G856" s="3" t="s">
        <v>25</v>
      </c>
      <c r="H856" s="3">
        <v>5688</v>
      </c>
      <c r="I856" s="3">
        <v>318</v>
      </c>
      <c r="J856" s="3">
        <v>16</v>
      </c>
      <c r="K856" s="12">
        <v>899.15</v>
      </c>
      <c r="L856" s="9">
        <v>1455.26</v>
      </c>
      <c r="M856" s="16">
        <f t="shared" si="65"/>
        <v>5.5907172995780588E-2</v>
      </c>
      <c r="N856" s="18">
        <f t="shared" si="66"/>
        <v>5.0314465408805034E-2</v>
      </c>
      <c r="O856" s="8">
        <f t="shared" si="67"/>
        <v>56.196874999999999</v>
      </c>
      <c r="P856" s="14">
        <f t="shared" si="68"/>
        <v>556.11</v>
      </c>
      <c r="Q856" s="16">
        <f t="shared" si="69"/>
        <v>0.61848412389478957</v>
      </c>
    </row>
    <row r="857" spans="1:17" x14ac:dyDescent="0.2">
      <c r="A857" s="2">
        <v>45734</v>
      </c>
      <c r="B857" s="3" t="s">
        <v>972</v>
      </c>
      <c r="C857" s="3" t="s">
        <v>54</v>
      </c>
      <c r="D857" s="3" t="s">
        <v>14</v>
      </c>
      <c r="E857" s="3" t="s">
        <v>31</v>
      </c>
      <c r="F857" s="3" t="s">
        <v>29</v>
      </c>
      <c r="G857" s="3" t="s">
        <v>17</v>
      </c>
      <c r="H857" s="3">
        <v>11524</v>
      </c>
      <c r="I857" s="3">
        <v>677</v>
      </c>
      <c r="J857" s="3">
        <v>37</v>
      </c>
      <c r="K857" s="12">
        <v>1417.9</v>
      </c>
      <c r="L857" s="9">
        <v>3245.23</v>
      </c>
      <c r="M857" s="16">
        <f t="shared" si="65"/>
        <v>5.8746962860118011E-2</v>
      </c>
      <c r="N857" s="18">
        <f t="shared" si="66"/>
        <v>5.4652880354505169E-2</v>
      </c>
      <c r="O857" s="8">
        <f t="shared" si="67"/>
        <v>38.321621621621624</v>
      </c>
      <c r="P857" s="14">
        <f t="shared" si="68"/>
        <v>1827.33</v>
      </c>
      <c r="Q857" s="16">
        <f t="shared" si="69"/>
        <v>1.2887580224275335</v>
      </c>
    </row>
    <row r="858" spans="1:17" x14ac:dyDescent="0.2">
      <c r="A858" s="2">
        <v>45734</v>
      </c>
      <c r="B858" s="3" t="s">
        <v>228</v>
      </c>
      <c r="C858" s="3" t="s">
        <v>13</v>
      </c>
      <c r="D858" s="3" t="s">
        <v>14</v>
      </c>
      <c r="E858" s="3" t="s">
        <v>31</v>
      </c>
      <c r="F858" s="3" t="s">
        <v>50</v>
      </c>
      <c r="G858" s="3" t="s">
        <v>17</v>
      </c>
      <c r="H858" s="3">
        <v>8925</v>
      </c>
      <c r="I858" s="3">
        <v>618</v>
      </c>
      <c r="J858" s="3">
        <v>20</v>
      </c>
      <c r="K858" s="12">
        <v>1651.21</v>
      </c>
      <c r="L858" s="9">
        <v>1968.96</v>
      </c>
      <c r="M858" s="16">
        <f t="shared" si="65"/>
        <v>6.9243697478991603E-2</v>
      </c>
      <c r="N858" s="18">
        <f t="shared" si="66"/>
        <v>3.2362459546925564E-2</v>
      </c>
      <c r="O858" s="8">
        <f t="shared" si="67"/>
        <v>82.560500000000005</v>
      </c>
      <c r="P858" s="14">
        <f t="shared" si="68"/>
        <v>317.75</v>
      </c>
      <c r="Q858" s="16">
        <f t="shared" si="69"/>
        <v>0.1924346388406078</v>
      </c>
    </row>
    <row r="859" spans="1:17" x14ac:dyDescent="0.2">
      <c r="A859" s="2">
        <v>45734</v>
      </c>
      <c r="B859" s="3" t="s">
        <v>973</v>
      </c>
      <c r="C859" s="3" t="s">
        <v>97</v>
      </c>
      <c r="D859" s="3" t="s">
        <v>46</v>
      </c>
      <c r="E859" s="3" t="s">
        <v>15</v>
      </c>
      <c r="F859" s="3" t="s">
        <v>34</v>
      </c>
      <c r="G859" s="3" t="s">
        <v>17</v>
      </c>
      <c r="H859" s="3">
        <v>18983</v>
      </c>
      <c r="I859" s="3">
        <v>539</v>
      </c>
      <c r="J859" s="3">
        <v>9</v>
      </c>
      <c r="K859" s="12">
        <v>777.71</v>
      </c>
      <c r="L859" s="9">
        <v>575.74</v>
      </c>
      <c r="M859" s="16">
        <f t="shared" si="65"/>
        <v>2.8393826054891217E-2</v>
      </c>
      <c r="N859" s="18">
        <f t="shared" si="66"/>
        <v>1.6697588126159554E-2</v>
      </c>
      <c r="O859" s="8">
        <f t="shared" si="67"/>
        <v>86.412222222222226</v>
      </c>
      <c r="P859" s="14">
        <f t="shared" si="68"/>
        <v>-201.97000000000003</v>
      </c>
      <c r="Q859" s="16">
        <f t="shared" si="69"/>
        <v>-0.25969834514150519</v>
      </c>
    </row>
    <row r="860" spans="1:17" x14ac:dyDescent="0.2">
      <c r="A860" s="2">
        <v>45734</v>
      </c>
      <c r="B860" s="3" t="s">
        <v>124</v>
      </c>
      <c r="C860" s="3" t="s">
        <v>110</v>
      </c>
      <c r="D860" s="3" t="s">
        <v>24</v>
      </c>
      <c r="E860" s="3" t="s">
        <v>20</v>
      </c>
      <c r="F860" s="3" t="s">
        <v>29</v>
      </c>
      <c r="G860" s="3" t="s">
        <v>17</v>
      </c>
      <c r="H860" s="3">
        <v>3550</v>
      </c>
      <c r="I860" s="3">
        <v>496</v>
      </c>
      <c r="J860" s="3">
        <v>63</v>
      </c>
      <c r="K860" s="12">
        <v>150.68</v>
      </c>
      <c r="L860" s="9">
        <v>7419.32</v>
      </c>
      <c r="M860" s="16">
        <f t="shared" si="65"/>
        <v>0.13971830985915493</v>
      </c>
      <c r="N860" s="18">
        <f t="shared" si="66"/>
        <v>0.12701612903225806</v>
      </c>
      <c r="O860" s="8">
        <f t="shared" si="67"/>
        <v>2.391746031746032</v>
      </c>
      <c r="P860" s="14">
        <f t="shared" si="68"/>
        <v>7268.6399999999994</v>
      </c>
      <c r="Q860" s="16">
        <f t="shared" si="69"/>
        <v>48.238916910007958</v>
      </c>
    </row>
    <row r="861" spans="1:17" x14ac:dyDescent="0.2">
      <c r="A861" s="2">
        <v>45734</v>
      </c>
      <c r="B861" s="3" t="s">
        <v>177</v>
      </c>
      <c r="C861" s="3" t="s">
        <v>27</v>
      </c>
      <c r="D861" s="3" t="s">
        <v>28</v>
      </c>
      <c r="E861" s="3" t="s">
        <v>20</v>
      </c>
      <c r="F861" s="3" t="s">
        <v>34</v>
      </c>
      <c r="G861" s="3" t="s">
        <v>25</v>
      </c>
      <c r="H861" s="3">
        <v>24281</v>
      </c>
      <c r="I861" s="3">
        <v>447</v>
      </c>
      <c r="J861" s="3">
        <v>9</v>
      </c>
      <c r="K861" s="12">
        <v>619.6</v>
      </c>
      <c r="L861" s="9">
        <v>403.44</v>
      </c>
      <c r="M861" s="16">
        <f t="shared" si="65"/>
        <v>1.8409455953214447E-2</v>
      </c>
      <c r="N861" s="18">
        <f t="shared" si="66"/>
        <v>2.0134228187919462E-2</v>
      </c>
      <c r="O861" s="8">
        <f t="shared" si="67"/>
        <v>68.844444444444449</v>
      </c>
      <c r="P861" s="14">
        <f t="shared" si="68"/>
        <v>-216.16000000000003</v>
      </c>
      <c r="Q861" s="16">
        <f t="shared" si="69"/>
        <v>-0.3488702388637831</v>
      </c>
    </row>
    <row r="862" spans="1:17" x14ac:dyDescent="0.2">
      <c r="A862" s="2">
        <v>45734</v>
      </c>
      <c r="B862" s="3" t="s">
        <v>974</v>
      </c>
      <c r="C862" s="3" t="s">
        <v>110</v>
      </c>
      <c r="D862" s="3" t="s">
        <v>24</v>
      </c>
      <c r="E862" s="3" t="s">
        <v>20</v>
      </c>
      <c r="F862" s="3" t="s">
        <v>16</v>
      </c>
      <c r="G862" s="3" t="s">
        <v>17</v>
      </c>
      <c r="H862" s="3">
        <v>2394</v>
      </c>
      <c r="I862" s="3">
        <v>345</v>
      </c>
      <c r="J862" s="3">
        <v>31</v>
      </c>
      <c r="K862" s="12">
        <v>121.28</v>
      </c>
      <c r="L862" s="9">
        <v>4590.24</v>
      </c>
      <c r="M862" s="16">
        <f t="shared" si="65"/>
        <v>0.14411027568922305</v>
      </c>
      <c r="N862" s="18">
        <f t="shared" si="66"/>
        <v>8.9855072463768115E-2</v>
      </c>
      <c r="O862" s="8">
        <f t="shared" si="67"/>
        <v>3.9122580645161289</v>
      </c>
      <c r="P862" s="14">
        <f t="shared" si="68"/>
        <v>4468.96</v>
      </c>
      <c r="Q862" s="16">
        <f t="shared" si="69"/>
        <v>36.848284960422163</v>
      </c>
    </row>
    <row r="863" spans="1:17" x14ac:dyDescent="0.2">
      <c r="A863" s="2">
        <v>45734</v>
      </c>
      <c r="B863" s="3" t="s">
        <v>104</v>
      </c>
      <c r="C863" s="3" t="s">
        <v>13</v>
      </c>
      <c r="D863" s="3" t="s">
        <v>14</v>
      </c>
      <c r="E863" s="3" t="s">
        <v>20</v>
      </c>
      <c r="F863" s="3" t="s">
        <v>50</v>
      </c>
      <c r="G863" s="3" t="s">
        <v>17</v>
      </c>
      <c r="H863" s="3">
        <v>11981</v>
      </c>
      <c r="I863" s="3">
        <v>737</v>
      </c>
      <c r="J863" s="3">
        <v>18</v>
      </c>
      <c r="K863" s="12">
        <v>2045.06</v>
      </c>
      <c r="L863" s="9">
        <v>1760.41</v>
      </c>
      <c r="M863" s="16">
        <f t="shared" si="65"/>
        <v>6.151406393456306E-2</v>
      </c>
      <c r="N863" s="18">
        <f t="shared" si="66"/>
        <v>2.4423337856173677E-2</v>
      </c>
      <c r="O863" s="8">
        <f t="shared" si="67"/>
        <v>113.61444444444444</v>
      </c>
      <c r="P863" s="14">
        <f t="shared" si="68"/>
        <v>-284.64999999999986</v>
      </c>
      <c r="Q863" s="16">
        <f t="shared" si="69"/>
        <v>-0.13918907024732766</v>
      </c>
    </row>
    <row r="864" spans="1:17" x14ac:dyDescent="0.2">
      <c r="A864" s="2">
        <v>45734</v>
      </c>
      <c r="B864" s="3" t="s">
        <v>357</v>
      </c>
      <c r="C864" s="3" t="s">
        <v>110</v>
      </c>
      <c r="D864" s="3" t="s">
        <v>24</v>
      </c>
      <c r="E864" s="3" t="s">
        <v>20</v>
      </c>
      <c r="F864" s="3" t="s">
        <v>50</v>
      </c>
      <c r="G864" s="3" t="s">
        <v>21</v>
      </c>
      <c r="H864" s="3">
        <v>2280</v>
      </c>
      <c r="I864" s="3">
        <v>233</v>
      </c>
      <c r="J864" s="3">
        <v>28</v>
      </c>
      <c r="K864" s="12">
        <v>76.73</v>
      </c>
      <c r="L864" s="9">
        <v>2875.86</v>
      </c>
      <c r="M864" s="16">
        <f t="shared" si="65"/>
        <v>0.10219298245614035</v>
      </c>
      <c r="N864" s="18">
        <f t="shared" si="66"/>
        <v>0.12017167381974249</v>
      </c>
      <c r="O864" s="8">
        <f t="shared" si="67"/>
        <v>2.7403571428571429</v>
      </c>
      <c r="P864" s="14">
        <f t="shared" si="68"/>
        <v>2799.13</v>
      </c>
      <c r="Q864" s="16">
        <f t="shared" si="69"/>
        <v>36.480255441157304</v>
      </c>
    </row>
    <row r="865" spans="1:17" x14ac:dyDescent="0.2">
      <c r="A865" s="2">
        <v>45734</v>
      </c>
      <c r="B865" s="3" t="s">
        <v>975</v>
      </c>
      <c r="C865" s="3" t="s">
        <v>49</v>
      </c>
      <c r="D865" s="3" t="s">
        <v>46</v>
      </c>
      <c r="E865" s="3" t="s">
        <v>31</v>
      </c>
      <c r="F865" s="3" t="s">
        <v>29</v>
      </c>
      <c r="G865" s="3" t="s">
        <v>21</v>
      </c>
      <c r="H865" s="3">
        <v>10825</v>
      </c>
      <c r="I865" s="3">
        <v>305</v>
      </c>
      <c r="J865" s="3">
        <v>11</v>
      </c>
      <c r="K865" s="12">
        <v>591.24</v>
      </c>
      <c r="L865" s="9">
        <v>869.91</v>
      </c>
      <c r="M865" s="16">
        <f t="shared" si="65"/>
        <v>2.817551963048499E-2</v>
      </c>
      <c r="N865" s="18">
        <f t="shared" si="66"/>
        <v>3.6065573770491806E-2</v>
      </c>
      <c r="O865" s="8">
        <f t="shared" si="67"/>
        <v>53.74909090909091</v>
      </c>
      <c r="P865" s="14">
        <f t="shared" si="68"/>
        <v>278.66999999999996</v>
      </c>
      <c r="Q865" s="16">
        <f t="shared" si="69"/>
        <v>0.47133143900953922</v>
      </c>
    </row>
    <row r="866" spans="1:17" x14ac:dyDescent="0.2">
      <c r="A866" s="2">
        <v>45734</v>
      </c>
      <c r="B866" s="3" t="s">
        <v>433</v>
      </c>
      <c r="C866" s="3" t="s">
        <v>36</v>
      </c>
      <c r="D866" s="3" t="s">
        <v>37</v>
      </c>
      <c r="E866" s="3" t="s">
        <v>31</v>
      </c>
      <c r="F866" s="3" t="s">
        <v>16</v>
      </c>
      <c r="G866" s="3" t="s">
        <v>17</v>
      </c>
      <c r="H866" s="3">
        <v>3766</v>
      </c>
      <c r="I866" s="3">
        <v>185</v>
      </c>
      <c r="J866" s="3">
        <v>7</v>
      </c>
      <c r="K866" s="12">
        <v>722.54</v>
      </c>
      <c r="L866" s="9">
        <v>1172.96</v>
      </c>
      <c r="M866" s="16">
        <f t="shared" si="65"/>
        <v>4.9123738714816782E-2</v>
      </c>
      <c r="N866" s="18">
        <f t="shared" si="66"/>
        <v>3.783783783783784E-2</v>
      </c>
      <c r="O866" s="8">
        <f t="shared" si="67"/>
        <v>103.22</v>
      </c>
      <c r="P866" s="14">
        <f t="shared" si="68"/>
        <v>450.42000000000007</v>
      </c>
      <c r="Q866" s="16">
        <f t="shared" si="69"/>
        <v>0.62338417250256051</v>
      </c>
    </row>
    <row r="867" spans="1:17" x14ac:dyDescent="0.2">
      <c r="A867" s="2">
        <v>45734</v>
      </c>
      <c r="B867" s="3" t="s">
        <v>490</v>
      </c>
      <c r="C867" s="3" t="s">
        <v>120</v>
      </c>
      <c r="D867" s="3" t="s">
        <v>14</v>
      </c>
      <c r="E867" s="3" t="s">
        <v>20</v>
      </c>
      <c r="F867" s="3" t="s">
        <v>47</v>
      </c>
      <c r="G867" s="3" t="s">
        <v>17</v>
      </c>
      <c r="H867" s="3">
        <v>9167</v>
      </c>
      <c r="I867" s="3">
        <v>292</v>
      </c>
      <c r="J867" s="3">
        <v>6</v>
      </c>
      <c r="K867" s="12">
        <v>615.73</v>
      </c>
      <c r="L867" s="9">
        <v>612.46</v>
      </c>
      <c r="M867" s="16">
        <f t="shared" si="65"/>
        <v>3.1853387149558196E-2</v>
      </c>
      <c r="N867" s="18">
        <f t="shared" si="66"/>
        <v>2.0547945205479451E-2</v>
      </c>
      <c r="O867" s="8">
        <f t="shared" si="67"/>
        <v>102.62166666666667</v>
      </c>
      <c r="P867" s="14">
        <f t="shared" si="68"/>
        <v>-3.2699999999999818</v>
      </c>
      <c r="Q867" s="16">
        <f t="shared" si="69"/>
        <v>-5.3107693307131078E-3</v>
      </c>
    </row>
    <row r="868" spans="1:17" x14ac:dyDescent="0.2">
      <c r="A868" s="2">
        <v>45735</v>
      </c>
      <c r="B868" s="3" t="s">
        <v>278</v>
      </c>
      <c r="C868" s="3" t="s">
        <v>58</v>
      </c>
      <c r="D868" s="3" t="s">
        <v>37</v>
      </c>
      <c r="E868" s="3" t="s">
        <v>20</v>
      </c>
      <c r="F868" s="3" t="s">
        <v>50</v>
      </c>
      <c r="G868" s="3" t="s">
        <v>17</v>
      </c>
      <c r="H868" s="3">
        <v>6337</v>
      </c>
      <c r="I868" s="3">
        <v>191</v>
      </c>
      <c r="J868" s="3">
        <v>3</v>
      </c>
      <c r="K868" s="12">
        <v>1442.19</v>
      </c>
      <c r="L868" s="9">
        <v>581.54999999999995</v>
      </c>
      <c r="M868" s="16">
        <f t="shared" si="65"/>
        <v>3.0140445005523119E-2</v>
      </c>
      <c r="N868" s="18">
        <f t="shared" si="66"/>
        <v>1.5706806282722512E-2</v>
      </c>
      <c r="O868" s="8">
        <f t="shared" si="67"/>
        <v>480.73</v>
      </c>
      <c r="P868" s="14">
        <f t="shared" si="68"/>
        <v>-860.6400000000001</v>
      </c>
      <c r="Q868" s="16">
        <f t="shared" si="69"/>
        <v>-0.59675909554219631</v>
      </c>
    </row>
    <row r="869" spans="1:17" x14ac:dyDescent="0.2">
      <c r="A869" s="2">
        <v>45735</v>
      </c>
      <c r="B869" s="3" t="s">
        <v>976</v>
      </c>
      <c r="C869" s="3" t="s">
        <v>110</v>
      </c>
      <c r="D869" s="3" t="s">
        <v>24</v>
      </c>
      <c r="E869" s="3" t="s">
        <v>31</v>
      </c>
      <c r="F869" s="3" t="s">
        <v>29</v>
      </c>
      <c r="G869" s="3" t="s">
        <v>17</v>
      </c>
      <c r="H869" s="3">
        <v>1339</v>
      </c>
      <c r="I869" s="3">
        <v>185</v>
      </c>
      <c r="J869" s="3">
        <v>37</v>
      </c>
      <c r="K869" s="12">
        <v>54.96</v>
      </c>
      <c r="L869" s="9">
        <v>3819.57</v>
      </c>
      <c r="M869" s="16">
        <f t="shared" si="65"/>
        <v>0.13816280806572068</v>
      </c>
      <c r="N869" s="18">
        <f t="shared" si="66"/>
        <v>0.2</v>
      </c>
      <c r="O869" s="8">
        <f t="shared" si="67"/>
        <v>1.4854054054054053</v>
      </c>
      <c r="P869" s="14">
        <f t="shared" si="68"/>
        <v>3764.61</v>
      </c>
      <c r="Q869" s="16">
        <f t="shared" si="69"/>
        <v>68.497270742358083</v>
      </c>
    </row>
    <row r="870" spans="1:17" x14ac:dyDescent="0.2">
      <c r="A870" s="2">
        <v>45735</v>
      </c>
      <c r="B870" s="3" t="s">
        <v>405</v>
      </c>
      <c r="C870" s="3" t="s">
        <v>13</v>
      </c>
      <c r="D870" s="3" t="s">
        <v>14</v>
      </c>
      <c r="E870" s="3" t="s">
        <v>20</v>
      </c>
      <c r="F870" s="3" t="s">
        <v>47</v>
      </c>
      <c r="G870" s="3" t="s">
        <v>25</v>
      </c>
      <c r="H870" s="3">
        <v>6244</v>
      </c>
      <c r="I870" s="3">
        <v>226</v>
      </c>
      <c r="J870" s="3">
        <v>7</v>
      </c>
      <c r="K870" s="12">
        <v>684.85</v>
      </c>
      <c r="L870" s="9">
        <v>819.28</v>
      </c>
      <c r="M870" s="16">
        <f t="shared" si="65"/>
        <v>3.6194746957078798E-2</v>
      </c>
      <c r="N870" s="18">
        <f t="shared" si="66"/>
        <v>3.0973451327433628E-2</v>
      </c>
      <c r="O870" s="8">
        <f t="shared" si="67"/>
        <v>97.835714285714289</v>
      </c>
      <c r="P870" s="14">
        <f t="shared" si="68"/>
        <v>134.42999999999995</v>
      </c>
      <c r="Q870" s="16">
        <f t="shared" si="69"/>
        <v>0.19629115864787902</v>
      </c>
    </row>
    <row r="871" spans="1:17" x14ac:dyDescent="0.2">
      <c r="A871" s="2">
        <v>45735</v>
      </c>
      <c r="B871" s="3" t="s">
        <v>503</v>
      </c>
      <c r="C871" s="3" t="s">
        <v>23</v>
      </c>
      <c r="D871" s="3" t="s">
        <v>24</v>
      </c>
      <c r="E871" s="3" t="s">
        <v>31</v>
      </c>
      <c r="F871" s="3" t="s">
        <v>29</v>
      </c>
      <c r="G871" s="3" t="s">
        <v>25</v>
      </c>
      <c r="H871" s="3">
        <v>2917</v>
      </c>
      <c r="I871" s="3">
        <v>257</v>
      </c>
      <c r="J871" s="3">
        <v>46</v>
      </c>
      <c r="K871" s="12">
        <v>125.89</v>
      </c>
      <c r="L871" s="9">
        <v>6293.89</v>
      </c>
      <c r="M871" s="16">
        <f t="shared" si="65"/>
        <v>8.8104216660953028E-2</v>
      </c>
      <c r="N871" s="18">
        <f t="shared" si="66"/>
        <v>0.17898832684824903</v>
      </c>
      <c r="O871" s="8">
        <f t="shared" si="67"/>
        <v>2.7367391304347826</v>
      </c>
      <c r="P871" s="14">
        <f t="shared" si="68"/>
        <v>6168</v>
      </c>
      <c r="Q871" s="16">
        <f t="shared" si="69"/>
        <v>48.995154499960286</v>
      </c>
    </row>
    <row r="872" spans="1:17" x14ac:dyDescent="0.2">
      <c r="A872" s="2">
        <v>45735</v>
      </c>
      <c r="B872" s="3" t="s">
        <v>151</v>
      </c>
      <c r="C872" s="3" t="s">
        <v>13</v>
      </c>
      <c r="D872" s="3" t="s">
        <v>14</v>
      </c>
      <c r="E872" s="3" t="s">
        <v>20</v>
      </c>
      <c r="F872" s="3" t="s">
        <v>16</v>
      </c>
      <c r="G872" s="3" t="s">
        <v>17</v>
      </c>
      <c r="H872" s="3">
        <v>11833</v>
      </c>
      <c r="I872" s="3">
        <v>498</v>
      </c>
      <c r="J872" s="3">
        <v>19</v>
      </c>
      <c r="K872" s="12">
        <v>1003.9</v>
      </c>
      <c r="L872" s="9">
        <v>1951.18</v>
      </c>
      <c r="M872" s="16">
        <f t="shared" si="65"/>
        <v>4.2085692554719854E-2</v>
      </c>
      <c r="N872" s="18">
        <f t="shared" si="66"/>
        <v>3.8152610441767071E-2</v>
      </c>
      <c r="O872" s="8">
        <f t="shared" si="67"/>
        <v>52.836842105263159</v>
      </c>
      <c r="P872" s="14">
        <f t="shared" si="68"/>
        <v>947.28000000000009</v>
      </c>
      <c r="Q872" s="16">
        <f t="shared" si="69"/>
        <v>0.94359996015539405</v>
      </c>
    </row>
    <row r="873" spans="1:17" x14ac:dyDescent="0.2">
      <c r="A873" s="2">
        <v>45735</v>
      </c>
      <c r="B873" s="3" t="s">
        <v>138</v>
      </c>
      <c r="C873" s="3" t="s">
        <v>54</v>
      </c>
      <c r="D873" s="3" t="s">
        <v>14</v>
      </c>
      <c r="E873" s="3" t="s">
        <v>31</v>
      </c>
      <c r="F873" s="3" t="s">
        <v>29</v>
      </c>
      <c r="G873" s="3" t="s">
        <v>17</v>
      </c>
      <c r="H873" s="3">
        <v>6876</v>
      </c>
      <c r="I873" s="3">
        <v>287</v>
      </c>
      <c r="J873" s="3">
        <v>18</v>
      </c>
      <c r="K873" s="12">
        <v>843.25</v>
      </c>
      <c r="L873" s="9">
        <v>1470.07</v>
      </c>
      <c r="M873" s="16">
        <f t="shared" si="65"/>
        <v>4.1739383362420009E-2</v>
      </c>
      <c r="N873" s="18">
        <f t="shared" si="66"/>
        <v>6.2717770034843204E-2</v>
      </c>
      <c r="O873" s="8">
        <f t="shared" si="67"/>
        <v>46.847222222222221</v>
      </c>
      <c r="P873" s="14">
        <f t="shared" si="68"/>
        <v>626.81999999999994</v>
      </c>
      <c r="Q873" s="16">
        <f t="shared" si="69"/>
        <v>0.74333827453305656</v>
      </c>
    </row>
    <row r="874" spans="1:17" x14ac:dyDescent="0.2">
      <c r="A874" s="2">
        <v>45735</v>
      </c>
      <c r="B874" s="3" t="s">
        <v>977</v>
      </c>
      <c r="C874" s="3" t="s">
        <v>27</v>
      </c>
      <c r="D874" s="3" t="s">
        <v>28</v>
      </c>
      <c r="E874" s="3" t="s">
        <v>15</v>
      </c>
      <c r="F874" s="3" t="s">
        <v>16</v>
      </c>
      <c r="G874" s="3" t="s">
        <v>25</v>
      </c>
      <c r="H874" s="3">
        <v>18782</v>
      </c>
      <c r="I874" s="3">
        <v>179</v>
      </c>
      <c r="J874" s="3">
        <v>3</v>
      </c>
      <c r="K874" s="12">
        <v>236.14</v>
      </c>
      <c r="L874" s="9">
        <v>145.76</v>
      </c>
      <c r="M874" s="16">
        <f t="shared" si="65"/>
        <v>9.5304014481950809E-3</v>
      </c>
      <c r="N874" s="18">
        <f t="shared" si="66"/>
        <v>1.6759776536312849E-2</v>
      </c>
      <c r="O874" s="8">
        <f t="shared" si="67"/>
        <v>78.713333333333324</v>
      </c>
      <c r="P874" s="14">
        <f t="shared" si="68"/>
        <v>-90.38</v>
      </c>
      <c r="Q874" s="16">
        <f t="shared" si="69"/>
        <v>-0.38273905310409079</v>
      </c>
    </row>
    <row r="875" spans="1:17" x14ac:dyDescent="0.2">
      <c r="A875" s="2">
        <v>45735</v>
      </c>
      <c r="B875" s="3" t="s">
        <v>978</v>
      </c>
      <c r="C875" s="3" t="s">
        <v>36</v>
      </c>
      <c r="D875" s="3" t="s">
        <v>37</v>
      </c>
      <c r="E875" s="3" t="s">
        <v>31</v>
      </c>
      <c r="F875" s="3" t="s">
        <v>50</v>
      </c>
      <c r="G875" s="3" t="s">
        <v>17</v>
      </c>
      <c r="H875" s="3">
        <v>3535</v>
      </c>
      <c r="I875" s="3">
        <v>155</v>
      </c>
      <c r="J875" s="3">
        <v>4</v>
      </c>
      <c r="K875" s="12">
        <v>1096.32</v>
      </c>
      <c r="L875" s="9">
        <v>740.21</v>
      </c>
      <c r="M875" s="16">
        <f t="shared" si="65"/>
        <v>4.3847241867043849E-2</v>
      </c>
      <c r="N875" s="18">
        <f t="shared" si="66"/>
        <v>2.5806451612903226E-2</v>
      </c>
      <c r="O875" s="8">
        <f t="shared" si="67"/>
        <v>274.08</v>
      </c>
      <c r="P875" s="14">
        <f t="shared" si="68"/>
        <v>-356.1099999999999</v>
      </c>
      <c r="Q875" s="16">
        <f t="shared" si="69"/>
        <v>-0.32482304436660819</v>
      </c>
    </row>
    <row r="876" spans="1:17" x14ac:dyDescent="0.2">
      <c r="A876" s="2">
        <v>45735</v>
      </c>
      <c r="B876" s="3" t="s">
        <v>979</v>
      </c>
      <c r="C876" s="3" t="s">
        <v>45</v>
      </c>
      <c r="D876" s="3" t="s">
        <v>46</v>
      </c>
      <c r="E876" s="3" t="s">
        <v>20</v>
      </c>
      <c r="F876" s="3" t="s">
        <v>34</v>
      </c>
      <c r="G876" s="3" t="s">
        <v>21</v>
      </c>
      <c r="H876" s="3">
        <v>9881</v>
      </c>
      <c r="I876" s="3">
        <v>376</v>
      </c>
      <c r="J876" s="3">
        <v>7</v>
      </c>
      <c r="K876" s="12">
        <v>537.88</v>
      </c>
      <c r="L876" s="9">
        <v>562.83000000000004</v>
      </c>
      <c r="M876" s="16">
        <f t="shared" si="65"/>
        <v>3.8052828661066691E-2</v>
      </c>
      <c r="N876" s="18">
        <f t="shared" si="66"/>
        <v>1.8617021276595744E-2</v>
      </c>
      <c r="O876" s="8">
        <f t="shared" si="67"/>
        <v>76.84</v>
      </c>
      <c r="P876" s="14">
        <f t="shared" si="68"/>
        <v>24.950000000000045</v>
      </c>
      <c r="Q876" s="16">
        <f t="shared" si="69"/>
        <v>4.6385810961552851E-2</v>
      </c>
    </row>
    <row r="877" spans="1:17" x14ac:dyDescent="0.2">
      <c r="A877" s="2">
        <v>45736</v>
      </c>
      <c r="B877" s="3" t="s">
        <v>980</v>
      </c>
      <c r="C877" s="3" t="s">
        <v>49</v>
      </c>
      <c r="D877" s="3" t="s">
        <v>46</v>
      </c>
      <c r="E877" s="3" t="s">
        <v>20</v>
      </c>
      <c r="F877" s="3" t="s">
        <v>34</v>
      </c>
      <c r="G877" s="3" t="s">
        <v>17</v>
      </c>
      <c r="H877" s="3">
        <v>11633</v>
      </c>
      <c r="I877" s="3">
        <v>323</v>
      </c>
      <c r="J877" s="3">
        <v>6</v>
      </c>
      <c r="K877" s="12">
        <v>418.5</v>
      </c>
      <c r="L877" s="9">
        <v>330.36</v>
      </c>
      <c r="M877" s="16">
        <f t="shared" si="65"/>
        <v>2.7765838562709533E-2</v>
      </c>
      <c r="N877" s="18">
        <f t="shared" si="66"/>
        <v>1.8575851393188854E-2</v>
      </c>
      <c r="O877" s="8">
        <f t="shared" si="67"/>
        <v>69.75</v>
      </c>
      <c r="P877" s="14">
        <f t="shared" si="68"/>
        <v>-88.139999999999986</v>
      </c>
      <c r="Q877" s="16">
        <f t="shared" si="69"/>
        <v>-0.21060931899641575</v>
      </c>
    </row>
    <row r="878" spans="1:17" x14ac:dyDescent="0.2">
      <c r="A878" s="2">
        <v>45736</v>
      </c>
      <c r="B878" s="3" t="s">
        <v>981</v>
      </c>
      <c r="C878" s="3" t="s">
        <v>97</v>
      </c>
      <c r="D878" s="3" t="s">
        <v>46</v>
      </c>
      <c r="E878" s="3" t="s">
        <v>20</v>
      </c>
      <c r="F878" s="3" t="s">
        <v>16</v>
      </c>
      <c r="G878" s="3" t="s">
        <v>17</v>
      </c>
      <c r="H878" s="3">
        <v>8504</v>
      </c>
      <c r="I878" s="3">
        <v>214</v>
      </c>
      <c r="J878" s="3">
        <v>5</v>
      </c>
      <c r="K878" s="12">
        <v>198.33</v>
      </c>
      <c r="L878" s="9">
        <v>338.84</v>
      </c>
      <c r="M878" s="16">
        <f t="shared" si="65"/>
        <v>2.5164628410159925E-2</v>
      </c>
      <c r="N878" s="18">
        <f t="shared" si="66"/>
        <v>2.336448598130841E-2</v>
      </c>
      <c r="O878" s="8">
        <f t="shared" si="67"/>
        <v>39.666000000000004</v>
      </c>
      <c r="P878" s="14">
        <f t="shared" si="68"/>
        <v>140.50999999999996</v>
      </c>
      <c r="Q878" s="16">
        <f t="shared" si="69"/>
        <v>0.70846568849896618</v>
      </c>
    </row>
    <row r="879" spans="1:17" x14ac:dyDescent="0.2">
      <c r="A879" s="2">
        <v>45736</v>
      </c>
      <c r="B879" s="3" t="s">
        <v>982</v>
      </c>
      <c r="C879" s="3" t="s">
        <v>45</v>
      </c>
      <c r="D879" s="3" t="s">
        <v>46</v>
      </c>
      <c r="E879" s="3" t="s">
        <v>31</v>
      </c>
      <c r="F879" s="3" t="s">
        <v>29</v>
      </c>
      <c r="G879" s="3" t="s">
        <v>21</v>
      </c>
      <c r="H879" s="3">
        <v>16820</v>
      </c>
      <c r="I879" s="3">
        <v>548</v>
      </c>
      <c r="J879" s="3">
        <v>24</v>
      </c>
      <c r="K879" s="12">
        <v>1021.22</v>
      </c>
      <c r="L879" s="9">
        <v>2115.0300000000002</v>
      </c>
      <c r="M879" s="16">
        <f t="shared" si="65"/>
        <v>3.2580261593341257E-2</v>
      </c>
      <c r="N879" s="18">
        <f t="shared" si="66"/>
        <v>4.3795620437956206E-2</v>
      </c>
      <c r="O879" s="8">
        <f t="shared" si="67"/>
        <v>42.550833333333337</v>
      </c>
      <c r="P879" s="14">
        <f t="shared" si="68"/>
        <v>1093.8100000000002</v>
      </c>
      <c r="Q879" s="16">
        <f t="shared" si="69"/>
        <v>1.0710816474412959</v>
      </c>
    </row>
    <row r="880" spans="1:17" x14ac:dyDescent="0.2">
      <c r="A880" s="2">
        <v>45736</v>
      </c>
      <c r="B880" s="3" t="s">
        <v>983</v>
      </c>
      <c r="C880" s="3" t="s">
        <v>97</v>
      </c>
      <c r="D880" s="3" t="s">
        <v>46</v>
      </c>
      <c r="E880" s="3" t="s">
        <v>20</v>
      </c>
      <c r="F880" s="3" t="s">
        <v>29</v>
      </c>
      <c r="G880" s="3" t="s">
        <v>17</v>
      </c>
      <c r="H880" s="3">
        <v>12076</v>
      </c>
      <c r="I880" s="3">
        <v>325</v>
      </c>
      <c r="J880" s="3">
        <v>8</v>
      </c>
      <c r="K880" s="12">
        <v>340.61</v>
      </c>
      <c r="L880" s="9">
        <v>689.36</v>
      </c>
      <c r="M880" s="16">
        <f t="shared" si="65"/>
        <v>2.691288506127857E-2</v>
      </c>
      <c r="N880" s="18">
        <f t="shared" si="66"/>
        <v>2.4615384615384615E-2</v>
      </c>
      <c r="O880" s="8">
        <f t="shared" si="67"/>
        <v>42.576250000000002</v>
      </c>
      <c r="P880" s="14">
        <f t="shared" si="68"/>
        <v>348.75</v>
      </c>
      <c r="Q880" s="16">
        <f t="shared" si="69"/>
        <v>1.0238983001086286</v>
      </c>
    </row>
    <row r="881" spans="1:17" x14ac:dyDescent="0.2">
      <c r="A881" s="2">
        <v>45736</v>
      </c>
      <c r="B881" s="3" t="s">
        <v>984</v>
      </c>
      <c r="C881" s="3" t="s">
        <v>97</v>
      </c>
      <c r="D881" s="3" t="s">
        <v>46</v>
      </c>
      <c r="E881" s="3" t="s">
        <v>20</v>
      </c>
      <c r="F881" s="3" t="s">
        <v>47</v>
      </c>
      <c r="G881" s="3" t="s">
        <v>21</v>
      </c>
      <c r="H881" s="3">
        <v>13689</v>
      </c>
      <c r="I881" s="3">
        <v>503</v>
      </c>
      <c r="J881" s="3">
        <v>10</v>
      </c>
      <c r="K881" s="12">
        <v>790.58</v>
      </c>
      <c r="L881" s="9">
        <v>951.09</v>
      </c>
      <c r="M881" s="16">
        <f t="shared" si="65"/>
        <v>3.6744831616626492E-2</v>
      </c>
      <c r="N881" s="18">
        <f t="shared" si="66"/>
        <v>1.9880715705765408E-2</v>
      </c>
      <c r="O881" s="8">
        <f t="shared" si="67"/>
        <v>79.058000000000007</v>
      </c>
      <c r="P881" s="14">
        <f t="shared" si="68"/>
        <v>160.51</v>
      </c>
      <c r="Q881" s="16">
        <f t="shared" si="69"/>
        <v>0.20302815654329731</v>
      </c>
    </row>
    <row r="882" spans="1:17" x14ac:dyDescent="0.2">
      <c r="A882" s="2">
        <v>45736</v>
      </c>
      <c r="B882" s="3" t="s">
        <v>985</v>
      </c>
      <c r="C882" s="3" t="s">
        <v>33</v>
      </c>
      <c r="D882" s="3" t="s">
        <v>28</v>
      </c>
      <c r="E882" s="3" t="s">
        <v>20</v>
      </c>
      <c r="F882" s="3" t="s">
        <v>50</v>
      </c>
      <c r="G882" s="3" t="s">
        <v>17</v>
      </c>
      <c r="H882" s="3">
        <v>25378</v>
      </c>
      <c r="I882" s="3">
        <v>515</v>
      </c>
      <c r="J882" s="3">
        <v>7</v>
      </c>
      <c r="K882" s="12">
        <v>484.16</v>
      </c>
      <c r="L882" s="9">
        <v>372.91</v>
      </c>
      <c r="M882" s="16">
        <f t="shared" si="65"/>
        <v>2.0293167310268735E-2</v>
      </c>
      <c r="N882" s="18">
        <f t="shared" si="66"/>
        <v>1.3592233009708738E-2</v>
      </c>
      <c r="O882" s="8">
        <f t="shared" si="67"/>
        <v>69.165714285714287</v>
      </c>
      <c r="P882" s="14">
        <f t="shared" si="68"/>
        <v>-111.25</v>
      </c>
      <c r="Q882" s="16">
        <f t="shared" si="69"/>
        <v>-0.22977941176470587</v>
      </c>
    </row>
    <row r="883" spans="1:17" x14ac:dyDescent="0.2">
      <c r="A883" s="2">
        <v>45736</v>
      </c>
      <c r="B883" s="3" t="s">
        <v>366</v>
      </c>
      <c r="C883" s="3" t="s">
        <v>71</v>
      </c>
      <c r="D883" s="3" t="s">
        <v>37</v>
      </c>
      <c r="E883" s="3" t="s">
        <v>15</v>
      </c>
      <c r="F883" s="3" t="s">
        <v>47</v>
      </c>
      <c r="G883" s="3" t="s">
        <v>17</v>
      </c>
      <c r="H883" s="3">
        <v>4181</v>
      </c>
      <c r="I883" s="3">
        <v>123</v>
      </c>
      <c r="J883" s="3">
        <v>2</v>
      </c>
      <c r="K883" s="12">
        <v>971.23</v>
      </c>
      <c r="L883" s="9">
        <v>62.7</v>
      </c>
      <c r="M883" s="16">
        <f t="shared" si="65"/>
        <v>2.9418799330303756E-2</v>
      </c>
      <c r="N883" s="18">
        <f t="shared" si="66"/>
        <v>1.6260162601626018E-2</v>
      </c>
      <c r="O883" s="8">
        <f t="shared" si="67"/>
        <v>485.61500000000001</v>
      </c>
      <c r="P883" s="14">
        <f t="shared" si="68"/>
        <v>-908.53</v>
      </c>
      <c r="Q883" s="16">
        <f t="shared" si="69"/>
        <v>-0.9354426860784778</v>
      </c>
    </row>
    <row r="884" spans="1:17" x14ac:dyDescent="0.2">
      <c r="A884" s="2">
        <v>45736</v>
      </c>
      <c r="B884" s="3" t="s">
        <v>986</v>
      </c>
      <c r="C884" s="3" t="s">
        <v>23</v>
      </c>
      <c r="D884" s="3" t="s">
        <v>24</v>
      </c>
      <c r="E884" s="3" t="s">
        <v>31</v>
      </c>
      <c r="F884" s="3" t="s">
        <v>50</v>
      </c>
      <c r="G884" s="3" t="s">
        <v>17</v>
      </c>
      <c r="H884" s="3">
        <v>2516</v>
      </c>
      <c r="I884" s="3">
        <v>326</v>
      </c>
      <c r="J884" s="3">
        <v>44</v>
      </c>
      <c r="K884" s="12">
        <v>159.62</v>
      </c>
      <c r="L884" s="9">
        <v>6624.69</v>
      </c>
      <c r="M884" s="16">
        <f t="shared" si="65"/>
        <v>0.12957074721780604</v>
      </c>
      <c r="N884" s="18">
        <f t="shared" si="66"/>
        <v>0.13496932515337423</v>
      </c>
      <c r="O884" s="8">
        <f t="shared" si="67"/>
        <v>3.6277272727272729</v>
      </c>
      <c r="P884" s="14">
        <f t="shared" si="68"/>
        <v>6465.07</v>
      </c>
      <c r="Q884" s="16">
        <f t="shared" si="69"/>
        <v>40.502881844380397</v>
      </c>
    </row>
    <row r="885" spans="1:17" x14ac:dyDescent="0.2">
      <c r="A885" s="2">
        <v>45736</v>
      </c>
      <c r="B885" s="3" t="s">
        <v>447</v>
      </c>
      <c r="C885" s="3" t="s">
        <v>23</v>
      </c>
      <c r="D885" s="3" t="s">
        <v>24</v>
      </c>
      <c r="E885" s="3" t="s">
        <v>20</v>
      </c>
      <c r="F885" s="3" t="s">
        <v>50</v>
      </c>
      <c r="G885" s="3" t="s">
        <v>21</v>
      </c>
      <c r="H885" s="3">
        <v>3492</v>
      </c>
      <c r="I885" s="3">
        <v>362</v>
      </c>
      <c r="J885" s="3">
        <v>66</v>
      </c>
      <c r="K885" s="12">
        <v>191.52</v>
      </c>
      <c r="L885" s="9">
        <v>7383.14</v>
      </c>
      <c r="M885" s="16">
        <f t="shared" si="65"/>
        <v>0.10366552119129439</v>
      </c>
      <c r="N885" s="18">
        <f t="shared" si="66"/>
        <v>0.18232044198895028</v>
      </c>
      <c r="O885" s="8">
        <f t="shared" si="67"/>
        <v>2.9018181818181819</v>
      </c>
      <c r="P885" s="14">
        <f t="shared" si="68"/>
        <v>7191.62</v>
      </c>
      <c r="Q885" s="16">
        <f t="shared" si="69"/>
        <v>37.550229741019216</v>
      </c>
    </row>
    <row r="886" spans="1:17" x14ac:dyDescent="0.2">
      <c r="A886" s="2">
        <v>45736</v>
      </c>
      <c r="B886" s="3" t="s">
        <v>380</v>
      </c>
      <c r="C886" s="3" t="s">
        <v>39</v>
      </c>
      <c r="D886" s="3" t="s">
        <v>28</v>
      </c>
      <c r="E886" s="3" t="s">
        <v>20</v>
      </c>
      <c r="F886" s="3" t="s">
        <v>47</v>
      </c>
      <c r="G886" s="3" t="s">
        <v>17</v>
      </c>
      <c r="H886" s="3">
        <v>23244</v>
      </c>
      <c r="I886" s="3">
        <v>855</v>
      </c>
      <c r="J886" s="3">
        <v>11</v>
      </c>
      <c r="K886" s="12">
        <v>1045.8800000000001</v>
      </c>
      <c r="L886" s="9">
        <v>654.33000000000004</v>
      </c>
      <c r="M886" s="16">
        <f t="shared" si="65"/>
        <v>3.6783686112545171E-2</v>
      </c>
      <c r="N886" s="18">
        <f t="shared" si="66"/>
        <v>1.2865497076023392E-2</v>
      </c>
      <c r="O886" s="8">
        <f t="shared" si="67"/>
        <v>95.080000000000013</v>
      </c>
      <c r="P886" s="14">
        <f t="shared" si="68"/>
        <v>-391.55000000000007</v>
      </c>
      <c r="Q886" s="16">
        <f t="shared" si="69"/>
        <v>-0.37437373312425903</v>
      </c>
    </row>
    <row r="887" spans="1:17" x14ac:dyDescent="0.2">
      <c r="A887" s="2">
        <v>45737</v>
      </c>
      <c r="B887" s="3" t="s">
        <v>446</v>
      </c>
      <c r="C887" s="3" t="s">
        <v>120</v>
      </c>
      <c r="D887" s="3" t="s">
        <v>14</v>
      </c>
      <c r="E887" s="3" t="s">
        <v>15</v>
      </c>
      <c r="F887" s="3" t="s">
        <v>34</v>
      </c>
      <c r="G887" s="3" t="s">
        <v>21</v>
      </c>
      <c r="H887" s="3">
        <v>14813</v>
      </c>
      <c r="I887" s="3">
        <v>507</v>
      </c>
      <c r="J887" s="3">
        <v>19</v>
      </c>
      <c r="K887" s="12">
        <v>1426.53</v>
      </c>
      <c r="L887" s="9">
        <v>1369.14</v>
      </c>
      <c r="M887" s="16">
        <f t="shared" si="65"/>
        <v>3.4226692769864307E-2</v>
      </c>
      <c r="N887" s="18">
        <f t="shared" si="66"/>
        <v>3.7475345167652857E-2</v>
      </c>
      <c r="O887" s="8">
        <f t="shared" si="67"/>
        <v>75.08052631578947</v>
      </c>
      <c r="P887" s="14">
        <f t="shared" si="68"/>
        <v>-57.389999999999873</v>
      </c>
      <c r="Q887" s="16">
        <f t="shared" si="69"/>
        <v>-4.0230489369308654E-2</v>
      </c>
    </row>
    <row r="888" spans="1:17" x14ac:dyDescent="0.2">
      <c r="A888" s="2">
        <v>45737</v>
      </c>
      <c r="B888" s="3" t="s">
        <v>987</v>
      </c>
      <c r="C888" s="3" t="s">
        <v>74</v>
      </c>
      <c r="D888" s="3" t="s">
        <v>28</v>
      </c>
      <c r="E888" s="3" t="s">
        <v>20</v>
      </c>
      <c r="F888" s="3" t="s">
        <v>16</v>
      </c>
      <c r="G888" s="3" t="s">
        <v>17</v>
      </c>
      <c r="H888" s="3">
        <v>34951</v>
      </c>
      <c r="I888" s="3">
        <v>581</v>
      </c>
      <c r="J888" s="3">
        <v>9</v>
      </c>
      <c r="K888" s="12">
        <v>722.4</v>
      </c>
      <c r="L888" s="9">
        <v>667.31</v>
      </c>
      <c r="M888" s="16">
        <f t="shared" si="65"/>
        <v>1.6623272581614262E-2</v>
      </c>
      <c r="N888" s="18">
        <f t="shared" si="66"/>
        <v>1.549053356282272E-2</v>
      </c>
      <c r="O888" s="8">
        <f t="shared" si="67"/>
        <v>80.266666666666666</v>
      </c>
      <c r="P888" s="14">
        <f t="shared" si="68"/>
        <v>-55.090000000000032</v>
      </c>
      <c r="Q888" s="16">
        <f t="shared" si="69"/>
        <v>-7.6259689922480667E-2</v>
      </c>
    </row>
    <row r="889" spans="1:17" x14ac:dyDescent="0.2">
      <c r="A889" s="2">
        <v>45737</v>
      </c>
      <c r="B889" s="3" t="s">
        <v>372</v>
      </c>
      <c r="C889" s="3" t="s">
        <v>27</v>
      </c>
      <c r="D889" s="3" t="s">
        <v>28</v>
      </c>
      <c r="E889" s="3" t="s">
        <v>15</v>
      </c>
      <c r="F889" s="3" t="s">
        <v>29</v>
      </c>
      <c r="G889" s="3" t="s">
        <v>21</v>
      </c>
      <c r="H889" s="3">
        <v>16407</v>
      </c>
      <c r="I889" s="3">
        <v>223</v>
      </c>
      <c r="J889" s="3">
        <v>3</v>
      </c>
      <c r="K889" s="12">
        <v>296.52999999999997</v>
      </c>
      <c r="L889" s="9">
        <v>178.22</v>
      </c>
      <c r="M889" s="16">
        <f t="shared" si="65"/>
        <v>1.3591759614798561E-2</v>
      </c>
      <c r="N889" s="18">
        <f t="shared" si="66"/>
        <v>1.3452914798206279E-2</v>
      </c>
      <c r="O889" s="8">
        <f t="shared" si="67"/>
        <v>98.84333333333332</v>
      </c>
      <c r="P889" s="14">
        <f t="shared" si="68"/>
        <v>-118.30999999999997</v>
      </c>
      <c r="Q889" s="16">
        <f t="shared" si="69"/>
        <v>-0.3989815532998347</v>
      </c>
    </row>
    <row r="890" spans="1:17" x14ac:dyDescent="0.2">
      <c r="A890" s="2">
        <v>45737</v>
      </c>
      <c r="B890" s="3" t="s">
        <v>988</v>
      </c>
      <c r="C890" s="3" t="s">
        <v>71</v>
      </c>
      <c r="D890" s="3" t="s">
        <v>37</v>
      </c>
      <c r="E890" s="3" t="s">
        <v>20</v>
      </c>
      <c r="F890" s="3" t="s">
        <v>47</v>
      </c>
      <c r="G890" s="3" t="s">
        <v>21</v>
      </c>
      <c r="H890" s="3">
        <v>2028</v>
      </c>
      <c r="I890" s="3">
        <v>103</v>
      </c>
      <c r="J890" s="3">
        <v>2</v>
      </c>
      <c r="K890" s="12">
        <v>445.85</v>
      </c>
      <c r="L890" s="9">
        <v>246.47</v>
      </c>
      <c r="M890" s="16">
        <f t="shared" si="65"/>
        <v>5.0788954635108484E-2</v>
      </c>
      <c r="N890" s="18">
        <f t="shared" si="66"/>
        <v>1.9417475728155338E-2</v>
      </c>
      <c r="O890" s="8">
        <f t="shared" si="67"/>
        <v>222.92500000000001</v>
      </c>
      <c r="P890" s="14">
        <f t="shared" si="68"/>
        <v>-199.38000000000002</v>
      </c>
      <c r="Q890" s="16">
        <f t="shared" si="69"/>
        <v>-0.44719075922395429</v>
      </c>
    </row>
    <row r="891" spans="1:17" x14ac:dyDescent="0.2">
      <c r="A891" s="2">
        <v>45737</v>
      </c>
      <c r="B891" s="3" t="s">
        <v>989</v>
      </c>
      <c r="C891" s="3" t="s">
        <v>71</v>
      </c>
      <c r="D891" s="3" t="s">
        <v>37</v>
      </c>
      <c r="E891" s="3" t="s">
        <v>20</v>
      </c>
      <c r="F891" s="3" t="s">
        <v>29</v>
      </c>
      <c r="G891" s="3" t="s">
        <v>17</v>
      </c>
      <c r="H891" s="3">
        <v>6261</v>
      </c>
      <c r="I891" s="3">
        <v>327</v>
      </c>
      <c r="J891" s="3">
        <v>7</v>
      </c>
      <c r="K891" s="12">
        <v>1890.98</v>
      </c>
      <c r="L891" s="9">
        <v>1146.8</v>
      </c>
      <c r="M891" s="16">
        <f t="shared" si="65"/>
        <v>5.2228078581696216E-2</v>
      </c>
      <c r="N891" s="18">
        <f t="shared" si="66"/>
        <v>2.1406727828746176E-2</v>
      </c>
      <c r="O891" s="8">
        <f t="shared" si="67"/>
        <v>270.14</v>
      </c>
      <c r="P891" s="14">
        <f t="shared" si="68"/>
        <v>-744.18000000000006</v>
      </c>
      <c r="Q891" s="16">
        <f t="shared" si="69"/>
        <v>-0.39354197294524534</v>
      </c>
    </row>
    <row r="892" spans="1:17" x14ac:dyDescent="0.2">
      <c r="A892" s="2">
        <v>45737</v>
      </c>
      <c r="B892" s="3" t="s">
        <v>394</v>
      </c>
      <c r="C892" s="3" t="s">
        <v>36</v>
      </c>
      <c r="D892" s="3" t="s">
        <v>37</v>
      </c>
      <c r="E892" s="3" t="s">
        <v>20</v>
      </c>
      <c r="F892" s="3" t="s">
        <v>34</v>
      </c>
      <c r="G892" s="3" t="s">
        <v>21</v>
      </c>
      <c r="H892" s="3">
        <v>4313</v>
      </c>
      <c r="I892" s="3">
        <v>110</v>
      </c>
      <c r="J892" s="3">
        <v>1</v>
      </c>
      <c r="K892" s="12">
        <v>767.72</v>
      </c>
      <c r="L892" s="9">
        <v>120.31</v>
      </c>
      <c r="M892" s="16">
        <f t="shared" si="65"/>
        <v>2.5504289357755623E-2</v>
      </c>
      <c r="N892" s="18">
        <f t="shared" si="66"/>
        <v>9.0909090909090905E-3</v>
      </c>
      <c r="O892" s="8">
        <f t="shared" si="67"/>
        <v>767.72</v>
      </c>
      <c r="P892" s="14">
        <f t="shared" si="68"/>
        <v>-647.41000000000008</v>
      </c>
      <c r="Q892" s="16">
        <f t="shared" si="69"/>
        <v>-0.84328922002813533</v>
      </c>
    </row>
    <row r="893" spans="1:17" x14ac:dyDescent="0.2">
      <c r="A893" s="2">
        <v>45737</v>
      </c>
      <c r="B893" s="3" t="s">
        <v>990</v>
      </c>
      <c r="C893" s="3" t="s">
        <v>23</v>
      </c>
      <c r="D893" s="3" t="s">
        <v>24</v>
      </c>
      <c r="E893" s="3" t="s">
        <v>31</v>
      </c>
      <c r="F893" s="3" t="s">
        <v>34</v>
      </c>
      <c r="G893" s="3" t="s">
        <v>17</v>
      </c>
      <c r="H893" s="3">
        <v>3879</v>
      </c>
      <c r="I893" s="3">
        <v>683</v>
      </c>
      <c r="J893" s="3">
        <v>134</v>
      </c>
      <c r="K893" s="12">
        <v>172.02</v>
      </c>
      <c r="L893" s="9">
        <v>14245.98</v>
      </c>
      <c r="M893" s="16">
        <f t="shared" si="65"/>
        <v>0.17607630832688836</v>
      </c>
      <c r="N893" s="18">
        <f t="shared" si="66"/>
        <v>0.19619326500732065</v>
      </c>
      <c r="O893" s="8">
        <f t="shared" si="67"/>
        <v>1.2837313432835822</v>
      </c>
      <c r="P893" s="14">
        <f t="shared" si="68"/>
        <v>14073.96</v>
      </c>
      <c r="Q893" s="16">
        <f t="shared" si="69"/>
        <v>81.815835367980455</v>
      </c>
    </row>
    <row r="894" spans="1:17" x14ac:dyDescent="0.2">
      <c r="A894" s="2">
        <v>45737</v>
      </c>
      <c r="B894" s="3" t="s">
        <v>125</v>
      </c>
      <c r="C894" s="3" t="s">
        <v>156</v>
      </c>
      <c r="D894" s="3" t="s">
        <v>46</v>
      </c>
      <c r="E894" s="3" t="s">
        <v>20</v>
      </c>
      <c r="F894" s="3" t="s">
        <v>47</v>
      </c>
      <c r="G894" s="3" t="s">
        <v>17</v>
      </c>
      <c r="H894" s="3">
        <v>12061</v>
      </c>
      <c r="I894" s="3">
        <v>518</v>
      </c>
      <c r="J894" s="3">
        <v>16</v>
      </c>
      <c r="K894" s="12">
        <v>810.66</v>
      </c>
      <c r="L894" s="9">
        <v>1527.64</v>
      </c>
      <c r="M894" s="16">
        <f t="shared" si="65"/>
        <v>4.2948345908299476E-2</v>
      </c>
      <c r="N894" s="18">
        <f t="shared" si="66"/>
        <v>3.0888030888030889E-2</v>
      </c>
      <c r="O894" s="8">
        <f t="shared" si="67"/>
        <v>50.666249999999998</v>
      </c>
      <c r="P894" s="14">
        <f t="shared" si="68"/>
        <v>716.98000000000013</v>
      </c>
      <c r="Q894" s="16">
        <f t="shared" si="69"/>
        <v>0.88443983914341417</v>
      </c>
    </row>
    <row r="895" spans="1:17" x14ac:dyDescent="0.2">
      <c r="A895" s="2">
        <v>45737</v>
      </c>
      <c r="B895" s="3" t="s">
        <v>991</v>
      </c>
      <c r="C895" s="3" t="s">
        <v>45</v>
      </c>
      <c r="D895" s="3" t="s">
        <v>46</v>
      </c>
      <c r="E895" s="3" t="s">
        <v>20</v>
      </c>
      <c r="F895" s="3" t="s">
        <v>29</v>
      </c>
      <c r="G895" s="3" t="s">
        <v>25</v>
      </c>
      <c r="H895" s="3">
        <v>11580</v>
      </c>
      <c r="I895" s="3">
        <v>317</v>
      </c>
      <c r="J895" s="3">
        <v>8</v>
      </c>
      <c r="K895" s="12">
        <v>582.16999999999996</v>
      </c>
      <c r="L895" s="9">
        <v>605.04999999999995</v>
      </c>
      <c r="M895" s="16">
        <f t="shared" si="65"/>
        <v>2.7374784110535406E-2</v>
      </c>
      <c r="N895" s="18">
        <f t="shared" si="66"/>
        <v>2.5236593059936908E-2</v>
      </c>
      <c r="O895" s="8">
        <f t="shared" si="67"/>
        <v>72.771249999999995</v>
      </c>
      <c r="P895" s="14">
        <f t="shared" si="68"/>
        <v>22.879999999999995</v>
      </c>
      <c r="Q895" s="16">
        <f t="shared" si="69"/>
        <v>3.9301235034440107E-2</v>
      </c>
    </row>
    <row r="896" spans="1:17" x14ac:dyDescent="0.2">
      <c r="A896" s="2">
        <v>45737</v>
      </c>
      <c r="B896" s="3" t="s">
        <v>992</v>
      </c>
      <c r="C896" s="3" t="s">
        <v>110</v>
      </c>
      <c r="D896" s="3" t="s">
        <v>24</v>
      </c>
      <c r="E896" s="3" t="s">
        <v>31</v>
      </c>
      <c r="F896" s="3" t="s">
        <v>47</v>
      </c>
      <c r="G896" s="3" t="s">
        <v>17</v>
      </c>
      <c r="H896" s="3">
        <v>2893</v>
      </c>
      <c r="I896" s="3">
        <v>335</v>
      </c>
      <c r="J896" s="3">
        <v>51</v>
      </c>
      <c r="K896" s="12">
        <v>128.99</v>
      </c>
      <c r="L896" s="9">
        <v>6016.84</v>
      </c>
      <c r="M896" s="16">
        <f t="shared" si="65"/>
        <v>0.11579675077773938</v>
      </c>
      <c r="N896" s="18">
        <f t="shared" si="66"/>
        <v>0.15223880597014924</v>
      </c>
      <c r="O896" s="8">
        <f t="shared" si="67"/>
        <v>2.5292156862745099</v>
      </c>
      <c r="P896" s="14">
        <f t="shared" si="68"/>
        <v>5887.85</v>
      </c>
      <c r="Q896" s="16">
        <f t="shared" si="69"/>
        <v>45.645786495077139</v>
      </c>
    </row>
    <row r="897" spans="1:17" x14ac:dyDescent="0.2">
      <c r="A897" s="2">
        <v>45738</v>
      </c>
      <c r="B897" s="3" t="s">
        <v>993</v>
      </c>
      <c r="C897" s="3" t="s">
        <v>23</v>
      </c>
      <c r="D897" s="3" t="s">
        <v>24</v>
      </c>
      <c r="E897" s="3" t="s">
        <v>20</v>
      </c>
      <c r="F897" s="3" t="s">
        <v>50</v>
      </c>
      <c r="G897" s="3" t="s">
        <v>21</v>
      </c>
      <c r="H897" s="3">
        <v>2770</v>
      </c>
      <c r="I897" s="3">
        <v>349</v>
      </c>
      <c r="J897" s="3">
        <v>65</v>
      </c>
      <c r="K897" s="12">
        <v>102.82</v>
      </c>
      <c r="L897" s="9">
        <v>6613.72</v>
      </c>
      <c r="M897" s="16">
        <f t="shared" si="65"/>
        <v>0.12599277978339349</v>
      </c>
      <c r="N897" s="18">
        <f t="shared" si="66"/>
        <v>0.18624641833810887</v>
      </c>
      <c r="O897" s="8">
        <f t="shared" si="67"/>
        <v>1.5818461538461537</v>
      </c>
      <c r="P897" s="14">
        <f t="shared" si="68"/>
        <v>6510.9000000000005</v>
      </c>
      <c r="Q897" s="16">
        <f t="shared" si="69"/>
        <v>63.323283407897307</v>
      </c>
    </row>
    <row r="898" spans="1:17" x14ac:dyDescent="0.2">
      <c r="A898" s="2">
        <v>45738</v>
      </c>
      <c r="B898" s="3" t="s">
        <v>994</v>
      </c>
      <c r="C898" s="3" t="s">
        <v>54</v>
      </c>
      <c r="D898" s="3" t="s">
        <v>14</v>
      </c>
      <c r="E898" s="3" t="s">
        <v>31</v>
      </c>
      <c r="F898" s="3" t="s">
        <v>29</v>
      </c>
      <c r="G898" s="3" t="s">
        <v>17</v>
      </c>
      <c r="H898" s="3">
        <v>13958</v>
      </c>
      <c r="I898" s="3">
        <v>829</v>
      </c>
      <c r="J898" s="3">
        <v>54</v>
      </c>
      <c r="K898" s="12">
        <v>1951.29</v>
      </c>
      <c r="L898" s="9">
        <v>3673.37</v>
      </c>
      <c r="M898" s="16">
        <f t="shared" si="65"/>
        <v>5.9392463103596506E-2</v>
      </c>
      <c r="N898" s="18">
        <f t="shared" si="66"/>
        <v>6.513872135102533E-2</v>
      </c>
      <c r="O898" s="8">
        <f t="shared" si="67"/>
        <v>36.134999999999998</v>
      </c>
      <c r="P898" s="14">
        <f t="shared" si="68"/>
        <v>1722.08</v>
      </c>
      <c r="Q898" s="16">
        <f t="shared" si="69"/>
        <v>0.88253411845497076</v>
      </c>
    </row>
    <row r="899" spans="1:17" x14ac:dyDescent="0.2">
      <c r="A899" s="2">
        <v>45738</v>
      </c>
      <c r="B899" s="3" t="s">
        <v>467</v>
      </c>
      <c r="C899" s="3" t="s">
        <v>45</v>
      </c>
      <c r="D899" s="3" t="s">
        <v>46</v>
      </c>
      <c r="E899" s="3" t="s">
        <v>31</v>
      </c>
      <c r="F899" s="3" t="s">
        <v>29</v>
      </c>
      <c r="G899" s="3" t="s">
        <v>21</v>
      </c>
      <c r="H899" s="3">
        <v>12557</v>
      </c>
      <c r="I899" s="3">
        <v>509</v>
      </c>
      <c r="J899" s="3">
        <v>21</v>
      </c>
      <c r="K899" s="12">
        <v>819.32</v>
      </c>
      <c r="L899" s="9">
        <v>2221.09</v>
      </c>
      <c r="M899" s="16">
        <f t="shared" ref="M899:M962" si="70">IFERROR(I899/H899,0)</f>
        <v>4.0535159671896151E-2</v>
      </c>
      <c r="N899" s="18">
        <f t="shared" ref="N899:N962" si="71">IFERROR(J899/I899,0)</f>
        <v>4.1257367387033402E-2</v>
      </c>
      <c r="O899" s="8">
        <f t="shared" ref="O899:O962" si="72">IFERROR(K899/J899,0)</f>
        <v>39.015238095238097</v>
      </c>
      <c r="P899" s="14">
        <f t="shared" ref="P899:P962" si="73">L899-K899</f>
        <v>1401.77</v>
      </c>
      <c r="Q899" s="16">
        <f t="shared" ref="Q899:Q962" si="74">IFERROR((L899-K899)/K899,0)</f>
        <v>1.7108944002343405</v>
      </c>
    </row>
    <row r="900" spans="1:17" x14ac:dyDescent="0.2">
      <c r="A900" s="2">
        <v>45738</v>
      </c>
      <c r="B900" s="3" t="s">
        <v>373</v>
      </c>
      <c r="C900" s="3" t="s">
        <v>33</v>
      </c>
      <c r="D900" s="3" t="s">
        <v>28</v>
      </c>
      <c r="E900" s="3" t="s">
        <v>15</v>
      </c>
      <c r="F900" s="3" t="s">
        <v>50</v>
      </c>
      <c r="G900" s="3" t="s">
        <v>17</v>
      </c>
      <c r="H900" s="3">
        <v>39728</v>
      </c>
      <c r="I900" s="3">
        <v>590</v>
      </c>
      <c r="J900" s="3">
        <v>6</v>
      </c>
      <c r="K900" s="12">
        <v>888.34</v>
      </c>
      <c r="L900" s="9">
        <v>379.67</v>
      </c>
      <c r="M900" s="16">
        <f t="shared" si="70"/>
        <v>1.4850986709625454E-2</v>
      </c>
      <c r="N900" s="18">
        <f t="shared" si="71"/>
        <v>1.0169491525423728E-2</v>
      </c>
      <c r="O900" s="8">
        <f t="shared" si="72"/>
        <v>148.05666666666667</v>
      </c>
      <c r="P900" s="14">
        <f t="shared" si="73"/>
        <v>-508.67</v>
      </c>
      <c r="Q900" s="16">
        <f t="shared" si="74"/>
        <v>-0.57260733502938066</v>
      </c>
    </row>
    <row r="901" spans="1:17" x14ac:dyDescent="0.2">
      <c r="A901" s="2">
        <v>45738</v>
      </c>
      <c r="B901" s="3" t="s">
        <v>995</v>
      </c>
      <c r="C901" s="3" t="s">
        <v>36</v>
      </c>
      <c r="D901" s="3" t="s">
        <v>37</v>
      </c>
      <c r="E901" s="3" t="s">
        <v>20</v>
      </c>
      <c r="F901" s="3" t="s">
        <v>50</v>
      </c>
      <c r="G901" s="3" t="s">
        <v>17</v>
      </c>
      <c r="H901" s="3">
        <v>2637</v>
      </c>
      <c r="I901" s="3">
        <v>61</v>
      </c>
      <c r="J901" s="3">
        <v>0</v>
      </c>
      <c r="K901" s="12">
        <v>504.25</v>
      </c>
      <c r="L901" s="9">
        <v>0</v>
      </c>
      <c r="M901" s="16">
        <f t="shared" si="70"/>
        <v>2.3132347364429276E-2</v>
      </c>
      <c r="N901" s="18">
        <f t="shared" si="71"/>
        <v>0</v>
      </c>
      <c r="O901" s="8">
        <f t="shared" si="72"/>
        <v>0</v>
      </c>
      <c r="P901" s="14">
        <f t="shared" si="73"/>
        <v>-504.25</v>
      </c>
      <c r="Q901" s="16">
        <f t="shared" si="74"/>
        <v>-1</v>
      </c>
    </row>
    <row r="902" spans="1:17" x14ac:dyDescent="0.2">
      <c r="A902" s="2">
        <v>45738</v>
      </c>
      <c r="B902" s="3" t="s">
        <v>996</v>
      </c>
      <c r="C902" s="3" t="s">
        <v>58</v>
      </c>
      <c r="D902" s="3" t="s">
        <v>37</v>
      </c>
      <c r="E902" s="3" t="s">
        <v>15</v>
      </c>
      <c r="F902" s="3" t="s">
        <v>34</v>
      </c>
      <c r="G902" s="3" t="s">
        <v>17</v>
      </c>
      <c r="H902" s="3">
        <v>4070</v>
      </c>
      <c r="I902" s="3">
        <v>147</v>
      </c>
      <c r="J902" s="3">
        <v>2</v>
      </c>
      <c r="K902" s="12">
        <v>964.65</v>
      </c>
      <c r="L902" s="9">
        <v>324</v>
      </c>
      <c r="M902" s="16">
        <f t="shared" si="70"/>
        <v>3.6117936117936116E-2</v>
      </c>
      <c r="N902" s="18">
        <f t="shared" si="71"/>
        <v>1.3605442176870748E-2</v>
      </c>
      <c r="O902" s="8">
        <f t="shared" si="72"/>
        <v>482.32499999999999</v>
      </c>
      <c r="P902" s="14">
        <f t="shared" si="73"/>
        <v>-640.65</v>
      </c>
      <c r="Q902" s="16">
        <f t="shared" si="74"/>
        <v>-0.66412688539884934</v>
      </c>
    </row>
    <row r="903" spans="1:17" x14ac:dyDescent="0.2">
      <c r="A903" s="2">
        <v>45738</v>
      </c>
      <c r="B903" s="3" t="s">
        <v>354</v>
      </c>
      <c r="C903" s="3" t="s">
        <v>120</v>
      </c>
      <c r="D903" s="3" t="s">
        <v>14</v>
      </c>
      <c r="E903" s="3" t="s">
        <v>20</v>
      </c>
      <c r="F903" s="3" t="s">
        <v>16</v>
      </c>
      <c r="G903" s="3" t="s">
        <v>21</v>
      </c>
      <c r="H903" s="3">
        <v>6140</v>
      </c>
      <c r="I903" s="3">
        <v>324</v>
      </c>
      <c r="J903" s="3">
        <v>11</v>
      </c>
      <c r="K903" s="12">
        <v>649.41999999999996</v>
      </c>
      <c r="L903" s="9">
        <v>981.4</v>
      </c>
      <c r="M903" s="16">
        <f t="shared" si="70"/>
        <v>5.276872964169381E-2</v>
      </c>
      <c r="N903" s="18">
        <f t="shared" si="71"/>
        <v>3.3950617283950615E-2</v>
      </c>
      <c r="O903" s="8">
        <f t="shared" si="72"/>
        <v>59.038181818181812</v>
      </c>
      <c r="P903" s="14">
        <f t="shared" si="73"/>
        <v>331.98</v>
      </c>
      <c r="Q903" s="16">
        <f t="shared" si="74"/>
        <v>0.51119460441624842</v>
      </c>
    </row>
    <row r="904" spans="1:17" x14ac:dyDescent="0.2">
      <c r="A904" s="2">
        <v>45738</v>
      </c>
      <c r="B904" s="3" t="s">
        <v>997</v>
      </c>
      <c r="C904" s="3" t="s">
        <v>58</v>
      </c>
      <c r="D904" s="3" t="s">
        <v>37</v>
      </c>
      <c r="E904" s="3" t="s">
        <v>20</v>
      </c>
      <c r="F904" s="3" t="s">
        <v>47</v>
      </c>
      <c r="G904" s="3" t="s">
        <v>17</v>
      </c>
      <c r="H904" s="3">
        <v>5578</v>
      </c>
      <c r="I904" s="3">
        <v>196</v>
      </c>
      <c r="J904" s="3">
        <v>3</v>
      </c>
      <c r="K904" s="12">
        <v>1242.43</v>
      </c>
      <c r="L904" s="9">
        <v>340.69</v>
      </c>
      <c r="M904" s="16">
        <f t="shared" si="70"/>
        <v>3.5138042309071353E-2</v>
      </c>
      <c r="N904" s="18">
        <f t="shared" si="71"/>
        <v>1.5306122448979591E-2</v>
      </c>
      <c r="O904" s="8">
        <f t="shared" si="72"/>
        <v>414.14333333333337</v>
      </c>
      <c r="P904" s="14">
        <f t="shared" si="73"/>
        <v>-901.74</v>
      </c>
      <c r="Q904" s="16">
        <f t="shared" si="74"/>
        <v>-0.72578736830243951</v>
      </c>
    </row>
    <row r="905" spans="1:17" x14ac:dyDescent="0.2">
      <c r="A905" s="2">
        <v>45738</v>
      </c>
      <c r="B905" s="3" t="s">
        <v>998</v>
      </c>
      <c r="C905" s="3" t="s">
        <v>52</v>
      </c>
      <c r="D905" s="3" t="s">
        <v>24</v>
      </c>
      <c r="E905" s="3" t="s">
        <v>15</v>
      </c>
      <c r="F905" s="3" t="s">
        <v>47</v>
      </c>
      <c r="G905" s="3" t="s">
        <v>17</v>
      </c>
      <c r="H905" s="3">
        <v>1149</v>
      </c>
      <c r="I905" s="3">
        <v>106</v>
      </c>
      <c r="J905" s="3">
        <v>10</v>
      </c>
      <c r="K905" s="12">
        <v>0</v>
      </c>
      <c r="L905" s="9">
        <v>990.78</v>
      </c>
      <c r="M905" s="16">
        <f t="shared" si="70"/>
        <v>9.2254134029590942E-2</v>
      </c>
      <c r="N905" s="18">
        <f t="shared" si="71"/>
        <v>9.4339622641509441E-2</v>
      </c>
      <c r="O905" s="8">
        <f t="shared" si="72"/>
        <v>0</v>
      </c>
      <c r="P905" s="14">
        <f t="shared" si="73"/>
        <v>990.78</v>
      </c>
      <c r="Q905" s="16">
        <f t="shared" si="74"/>
        <v>0</v>
      </c>
    </row>
    <row r="906" spans="1:17" x14ac:dyDescent="0.2">
      <c r="A906" s="2">
        <v>45738</v>
      </c>
      <c r="B906" s="3" t="s">
        <v>999</v>
      </c>
      <c r="C906" s="3" t="s">
        <v>120</v>
      </c>
      <c r="D906" s="3" t="s">
        <v>14</v>
      </c>
      <c r="E906" s="3" t="s">
        <v>31</v>
      </c>
      <c r="F906" s="3" t="s">
        <v>34</v>
      </c>
      <c r="G906" s="3" t="s">
        <v>17</v>
      </c>
      <c r="H906" s="3">
        <v>13699</v>
      </c>
      <c r="I906" s="3">
        <v>1036</v>
      </c>
      <c r="J906" s="3">
        <v>70</v>
      </c>
      <c r="K906" s="12">
        <v>2694.59</v>
      </c>
      <c r="L906" s="9">
        <v>8201.32</v>
      </c>
      <c r="M906" s="16">
        <f t="shared" si="70"/>
        <v>7.5625958099131321E-2</v>
      </c>
      <c r="N906" s="18">
        <f t="shared" si="71"/>
        <v>6.7567567567567571E-2</v>
      </c>
      <c r="O906" s="8">
        <f t="shared" si="72"/>
        <v>38.494142857142862</v>
      </c>
      <c r="P906" s="14">
        <f t="shared" si="73"/>
        <v>5506.73</v>
      </c>
      <c r="Q906" s="16">
        <f t="shared" si="74"/>
        <v>2.0436244475040728</v>
      </c>
    </row>
    <row r="907" spans="1:17" x14ac:dyDescent="0.2">
      <c r="A907" s="2">
        <v>45738</v>
      </c>
      <c r="B907" s="3" t="s">
        <v>312</v>
      </c>
      <c r="C907" s="3" t="s">
        <v>36</v>
      </c>
      <c r="D907" s="3" t="s">
        <v>37</v>
      </c>
      <c r="E907" s="3" t="s">
        <v>20</v>
      </c>
      <c r="F907" s="3" t="s">
        <v>50</v>
      </c>
      <c r="G907" s="3" t="s">
        <v>21</v>
      </c>
      <c r="H907" s="3">
        <v>3014</v>
      </c>
      <c r="I907" s="3">
        <v>108</v>
      </c>
      <c r="J907" s="3">
        <v>2</v>
      </c>
      <c r="K907" s="12">
        <v>684.16</v>
      </c>
      <c r="L907" s="9">
        <v>273.06</v>
      </c>
      <c r="M907" s="16">
        <f t="shared" si="70"/>
        <v>3.5832780358327807E-2</v>
      </c>
      <c r="N907" s="18">
        <f t="shared" si="71"/>
        <v>1.8518518518518517E-2</v>
      </c>
      <c r="O907" s="8">
        <f t="shared" si="72"/>
        <v>342.08</v>
      </c>
      <c r="P907" s="14">
        <f t="shared" si="73"/>
        <v>-411.09999999999997</v>
      </c>
      <c r="Q907" s="16">
        <f t="shared" si="74"/>
        <v>-0.60088283442469592</v>
      </c>
    </row>
    <row r="908" spans="1:17" x14ac:dyDescent="0.2">
      <c r="A908" s="2">
        <v>45739</v>
      </c>
      <c r="B908" s="3" t="s">
        <v>1000</v>
      </c>
      <c r="C908" s="3" t="s">
        <v>33</v>
      </c>
      <c r="D908" s="3" t="s">
        <v>28</v>
      </c>
      <c r="E908" s="3" t="s">
        <v>31</v>
      </c>
      <c r="F908" s="3" t="s">
        <v>50</v>
      </c>
      <c r="G908" s="3" t="s">
        <v>17</v>
      </c>
      <c r="H908" s="3">
        <v>20489</v>
      </c>
      <c r="I908" s="3">
        <v>539</v>
      </c>
      <c r="J908" s="3">
        <v>6</v>
      </c>
      <c r="K908" s="12">
        <v>490.51</v>
      </c>
      <c r="L908" s="9">
        <v>321.07</v>
      </c>
      <c r="M908" s="16">
        <f t="shared" si="70"/>
        <v>2.6306798770071745E-2</v>
      </c>
      <c r="N908" s="18">
        <f t="shared" si="71"/>
        <v>1.1131725417439703E-2</v>
      </c>
      <c r="O908" s="8">
        <f t="shared" si="72"/>
        <v>81.751666666666665</v>
      </c>
      <c r="P908" s="14">
        <f t="shared" si="73"/>
        <v>-169.44</v>
      </c>
      <c r="Q908" s="16">
        <f t="shared" si="74"/>
        <v>-0.34543638254062098</v>
      </c>
    </row>
    <row r="909" spans="1:17" x14ac:dyDescent="0.2">
      <c r="A909" s="2">
        <v>45739</v>
      </c>
      <c r="B909" s="3" t="s">
        <v>233</v>
      </c>
      <c r="C909" s="3" t="s">
        <v>49</v>
      </c>
      <c r="D909" s="3" t="s">
        <v>46</v>
      </c>
      <c r="E909" s="3" t="s">
        <v>20</v>
      </c>
      <c r="F909" s="3" t="s">
        <v>34</v>
      </c>
      <c r="G909" s="3" t="s">
        <v>17</v>
      </c>
      <c r="H909" s="3">
        <v>13100</v>
      </c>
      <c r="I909" s="3">
        <v>388</v>
      </c>
      <c r="J909" s="3">
        <v>7</v>
      </c>
      <c r="K909" s="12">
        <v>677.38</v>
      </c>
      <c r="L909" s="9">
        <v>449.54</v>
      </c>
      <c r="M909" s="16">
        <f t="shared" si="70"/>
        <v>2.9618320610687022E-2</v>
      </c>
      <c r="N909" s="18">
        <f t="shared" si="71"/>
        <v>1.804123711340206E-2</v>
      </c>
      <c r="O909" s="8">
        <f t="shared" si="72"/>
        <v>96.768571428571434</v>
      </c>
      <c r="P909" s="14">
        <f t="shared" si="73"/>
        <v>-227.83999999999997</v>
      </c>
      <c r="Q909" s="16">
        <f t="shared" si="74"/>
        <v>-0.33635477870619146</v>
      </c>
    </row>
    <row r="910" spans="1:17" x14ac:dyDescent="0.2">
      <c r="A910" s="2">
        <v>45739</v>
      </c>
      <c r="B910" s="3" t="s">
        <v>1001</v>
      </c>
      <c r="C910" s="3" t="s">
        <v>110</v>
      </c>
      <c r="D910" s="3" t="s">
        <v>24</v>
      </c>
      <c r="E910" s="3" t="s">
        <v>20</v>
      </c>
      <c r="F910" s="3" t="s">
        <v>50</v>
      </c>
      <c r="G910" s="3" t="s">
        <v>21</v>
      </c>
      <c r="H910" s="3">
        <v>3574</v>
      </c>
      <c r="I910" s="3">
        <v>480</v>
      </c>
      <c r="J910" s="3">
        <v>71</v>
      </c>
      <c r="K910" s="12">
        <v>105.24</v>
      </c>
      <c r="L910" s="9">
        <v>9170.26</v>
      </c>
      <c r="M910" s="16">
        <f t="shared" si="70"/>
        <v>0.13430330162283155</v>
      </c>
      <c r="N910" s="18">
        <f t="shared" si="71"/>
        <v>0.14791666666666667</v>
      </c>
      <c r="O910" s="8">
        <f t="shared" si="72"/>
        <v>1.4822535211267605</v>
      </c>
      <c r="P910" s="14">
        <f t="shared" si="73"/>
        <v>9065.02</v>
      </c>
      <c r="Q910" s="16">
        <f t="shared" si="74"/>
        <v>86.136640060813392</v>
      </c>
    </row>
    <row r="911" spans="1:17" x14ac:dyDescent="0.2">
      <c r="A911" s="2">
        <v>45739</v>
      </c>
      <c r="B911" s="3" t="s">
        <v>1002</v>
      </c>
      <c r="C911" s="3" t="s">
        <v>39</v>
      </c>
      <c r="D911" s="3" t="s">
        <v>28</v>
      </c>
      <c r="E911" s="3" t="s">
        <v>31</v>
      </c>
      <c r="F911" s="3" t="s">
        <v>50</v>
      </c>
      <c r="G911" s="3" t="s">
        <v>17</v>
      </c>
      <c r="H911" s="3">
        <v>30319</v>
      </c>
      <c r="I911" s="3">
        <v>907</v>
      </c>
      <c r="J911" s="3">
        <v>11</v>
      </c>
      <c r="K911" s="12">
        <v>1200.08</v>
      </c>
      <c r="L911" s="9">
        <v>825.94</v>
      </c>
      <c r="M911" s="16">
        <f t="shared" si="70"/>
        <v>2.9915234671328211E-2</v>
      </c>
      <c r="N911" s="18">
        <f t="shared" si="71"/>
        <v>1.2127894156560088E-2</v>
      </c>
      <c r="O911" s="8">
        <f t="shared" si="72"/>
        <v>109.09818181818181</v>
      </c>
      <c r="P911" s="14">
        <f t="shared" si="73"/>
        <v>-374.13999999999987</v>
      </c>
      <c r="Q911" s="16">
        <f t="shared" si="74"/>
        <v>-0.31176254916338902</v>
      </c>
    </row>
    <row r="912" spans="1:17" x14ac:dyDescent="0.2">
      <c r="A912" s="2">
        <v>45739</v>
      </c>
      <c r="B912" s="3" t="s">
        <v>1003</v>
      </c>
      <c r="C912" s="3" t="s">
        <v>74</v>
      </c>
      <c r="D912" s="3" t="s">
        <v>28</v>
      </c>
      <c r="E912" s="3" t="s">
        <v>31</v>
      </c>
      <c r="F912" s="3" t="s">
        <v>47</v>
      </c>
      <c r="G912" s="3" t="s">
        <v>17</v>
      </c>
      <c r="H912" s="3">
        <v>21363</v>
      </c>
      <c r="I912" s="3">
        <v>628</v>
      </c>
      <c r="J912" s="3">
        <v>14</v>
      </c>
      <c r="K912" s="12">
        <v>826.43</v>
      </c>
      <c r="L912" s="9">
        <v>1087.3</v>
      </c>
      <c r="M912" s="16">
        <f t="shared" si="70"/>
        <v>2.9396620324860741E-2</v>
      </c>
      <c r="N912" s="18">
        <f t="shared" si="71"/>
        <v>2.2292993630573247E-2</v>
      </c>
      <c r="O912" s="8">
        <f t="shared" si="72"/>
        <v>59.030714285714282</v>
      </c>
      <c r="P912" s="14">
        <f t="shared" si="73"/>
        <v>260.87</v>
      </c>
      <c r="Q912" s="16">
        <f t="shared" si="74"/>
        <v>0.31565891848069411</v>
      </c>
    </row>
    <row r="913" spans="1:17" x14ac:dyDescent="0.2">
      <c r="A913" s="2">
        <v>45739</v>
      </c>
      <c r="B913" s="3" t="s">
        <v>1004</v>
      </c>
      <c r="C913" s="3" t="s">
        <v>36</v>
      </c>
      <c r="D913" s="3" t="s">
        <v>37</v>
      </c>
      <c r="E913" s="3" t="s">
        <v>20</v>
      </c>
      <c r="F913" s="3" t="s">
        <v>34</v>
      </c>
      <c r="G913" s="3" t="s">
        <v>17</v>
      </c>
      <c r="H913" s="3">
        <v>2576</v>
      </c>
      <c r="I913" s="3">
        <v>70</v>
      </c>
      <c r="J913" s="3">
        <v>1</v>
      </c>
      <c r="K913" s="12">
        <v>381.29</v>
      </c>
      <c r="L913" s="9">
        <v>124.45</v>
      </c>
      <c r="M913" s="16">
        <f t="shared" si="70"/>
        <v>2.717391304347826E-2</v>
      </c>
      <c r="N913" s="18">
        <f t="shared" si="71"/>
        <v>1.4285714285714285E-2</v>
      </c>
      <c r="O913" s="8">
        <f t="shared" si="72"/>
        <v>381.29</v>
      </c>
      <c r="P913" s="14">
        <f t="shared" si="73"/>
        <v>-256.84000000000003</v>
      </c>
      <c r="Q913" s="16">
        <f t="shared" si="74"/>
        <v>-0.67360801489679778</v>
      </c>
    </row>
    <row r="914" spans="1:17" x14ac:dyDescent="0.2">
      <c r="A914" s="2">
        <v>45739</v>
      </c>
      <c r="B914" s="3" t="s">
        <v>1005</v>
      </c>
      <c r="C914" s="3" t="s">
        <v>39</v>
      </c>
      <c r="D914" s="3" t="s">
        <v>28</v>
      </c>
      <c r="E914" s="3" t="s">
        <v>31</v>
      </c>
      <c r="F914" s="3" t="s">
        <v>47</v>
      </c>
      <c r="G914" s="3" t="s">
        <v>17</v>
      </c>
      <c r="H914" s="3">
        <v>22551</v>
      </c>
      <c r="I914" s="3">
        <v>307</v>
      </c>
      <c r="J914" s="3">
        <v>7</v>
      </c>
      <c r="K914" s="12">
        <v>335.32</v>
      </c>
      <c r="L914" s="9">
        <v>375.22</v>
      </c>
      <c r="M914" s="16">
        <f t="shared" si="70"/>
        <v>1.3613586980621702E-2</v>
      </c>
      <c r="N914" s="18">
        <f t="shared" si="71"/>
        <v>2.2801302931596091E-2</v>
      </c>
      <c r="O914" s="8">
        <f t="shared" si="72"/>
        <v>47.902857142857144</v>
      </c>
      <c r="P914" s="14">
        <f t="shared" si="73"/>
        <v>39.900000000000034</v>
      </c>
      <c r="Q914" s="16">
        <f t="shared" si="74"/>
        <v>0.11899081474412512</v>
      </c>
    </row>
    <row r="915" spans="1:17" x14ac:dyDescent="0.2">
      <c r="A915" s="2">
        <v>45739</v>
      </c>
      <c r="B915" s="3" t="s">
        <v>250</v>
      </c>
      <c r="C915" s="3" t="s">
        <v>33</v>
      </c>
      <c r="D915" s="3" t="s">
        <v>28</v>
      </c>
      <c r="E915" s="3" t="s">
        <v>20</v>
      </c>
      <c r="F915" s="3" t="s">
        <v>16</v>
      </c>
      <c r="G915" s="3" t="s">
        <v>17</v>
      </c>
      <c r="H915" s="3">
        <v>19221</v>
      </c>
      <c r="I915" s="3">
        <v>565</v>
      </c>
      <c r="J915" s="3">
        <v>2</v>
      </c>
      <c r="K915" s="12">
        <v>604.88</v>
      </c>
      <c r="L915" s="9">
        <v>120.66</v>
      </c>
      <c r="M915" s="16">
        <f t="shared" si="70"/>
        <v>2.9394932625773893E-2</v>
      </c>
      <c r="N915" s="18">
        <f t="shared" si="71"/>
        <v>3.5398230088495575E-3</v>
      </c>
      <c r="O915" s="8">
        <f t="shared" si="72"/>
        <v>302.44</v>
      </c>
      <c r="P915" s="14">
        <f t="shared" si="73"/>
        <v>-484.22</v>
      </c>
      <c r="Q915" s="16">
        <f t="shared" si="74"/>
        <v>-0.80052241766962051</v>
      </c>
    </row>
    <row r="916" spans="1:17" x14ac:dyDescent="0.2">
      <c r="A916" s="2">
        <v>45740</v>
      </c>
      <c r="B916" s="3" t="s">
        <v>395</v>
      </c>
      <c r="C916" s="3" t="s">
        <v>39</v>
      </c>
      <c r="D916" s="3" t="s">
        <v>28</v>
      </c>
      <c r="E916" s="3" t="s">
        <v>20</v>
      </c>
      <c r="F916" s="3" t="s">
        <v>50</v>
      </c>
      <c r="G916" s="3" t="s">
        <v>17</v>
      </c>
      <c r="H916" s="3">
        <v>28715</v>
      </c>
      <c r="I916" s="3">
        <v>422</v>
      </c>
      <c r="J916" s="3">
        <v>6</v>
      </c>
      <c r="K916" s="12">
        <v>553.91999999999996</v>
      </c>
      <c r="L916" s="9">
        <v>458.93</v>
      </c>
      <c r="M916" s="16">
        <f t="shared" si="70"/>
        <v>1.4696151837018979E-2</v>
      </c>
      <c r="N916" s="18">
        <f t="shared" si="71"/>
        <v>1.4218009478672985E-2</v>
      </c>
      <c r="O916" s="8">
        <f t="shared" si="72"/>
        <v>92.32</v>
      </c>
      <c r="P916" s="14">
        <f t="shared" si="73"/>
        <v>-94.989999999999952</v>
      </c>
      <c r="Q916" s="16">
        <f t="shared" si="74"/>
        <v>-0.17148685730791444</v>
      </c>
    </row>
    <row r="917" spans="1:17" x14ac:dyDescent="0.2">
      <c r="A917" s="2">
        <v>45740</v>
      </c>
      <c r="B917" s="3" t="s">
        <v>456</v>
      </c>
      <c r="C917" s="3" t="s">
        <v>27</v>
      </c>
      <c r="D917" s="3" t="s">
        <v>28</v>
      </c>
      <c r="E917" s="3" t="s">
        <v>20</v>
      </c>
      <c r="F917" s="3" t="s">
        <v>34</v>
      </c>
      <c r="G917" s="3" t="s">
        <v>25</v>
      </c>
      <c r="H917" s="3">
        <v>17519</v>
      </c>
      <c r="I917" s="3">
        <v>387</v>
      </c>
      <c r="J917" s="3">
        <v>6</v>
      </c>
      <c r="K917" s="12">
        <v>367.07</v>
      </c>
      <c r="L917" s="9">
        <v>377.72</v>
      </c>
      <c r="M917" s="16">
        <f t="shared" si="70"/>
        <v>2.2090301957874307E-2</v>
      </c>
      <c r="N917" s="18">
        <f t="shared" si="71"/>
        <v>1.5503875968992248E-2</v>
      </c>
      <c r="O917" s="8">
        <f t="shared" si="72"/>
        <v>61.178333333333335</v>
      </c>
      <c r="P917" s="14">
        <f t="shared" si="73"/>
        <v>10.650000000000034</v>
      </c>
      <c r="Q917" s="16">
        <f t="shared" si="74"/>
        <v>2.9013539651837617E-2</v>
      </c>
    </row>
    <row r="918" spans="1:17" x14ac:dyDescent="0.2">
      <c r="A918" s="2">
        <v>45740</v>
      </c>
      <c r="B918" s="3" t="s">
        <v>1006</v>
      </c>
      <c r="C918" s="3" t="s">
        <v>19</v>
      </c>
      <c r="D918" s="3" t="s">
        <v>14</v>
      </c>
      <c r="E918" s="3" t="s">
        <v>20</v>
      </c>
      <c r="F918" s="3" t="s">
        <v>47</v>
      </c>
      <c r="G918" s="3" t="s">
        <v>17</v>
      </c>
      <c r="H918" s="3">
        <v>10449</v>
      </c>
      <c r="I918" s="3">
        <v>590</v>
      </c>
      <c r="J918" s="3">
        <v>14</v>
      </c>
      <c r="K918" s="12">
        <v>1238.8599999999999</v>
      </c>
      <c r="L918" s="9">
        <v>1615.27</v>
      </c>
      <c r="M918" s="16">
        <f t="shared" si="70"/>
        <v>5.6464733467317445E-2</v>
      </c>
      <c r="N918" s="18">
        <f t="shared" si="71"/>
        <v>2.3728813559322035E-2</v>
      </c>
      <c r="O918" s="8">
        <f t="shared" si="72"/>
        <v>88.49</v>
      </c>
      <c r="P918" s="14">
        <f t="shared" si="73"/>
        <v>376.41000000000008</v>
      </c>
      <c r="Q918" s="16">
        <f t="shared" si="74"/>
        <v>0.30383578451156718</v>
      </c>
    </row>
    <row r="919" spans="1:17" x14ac:dyDescent="0.2">
      <c r="A919" s="2">
        <v>45740</v>
      </c>
      <c r="B919" s="3" t="s">
        <v>1007</v>
      </c>
      <c r="C919" s="3" t="s">
        <v>71</v>
      </c>
      <c r="D919" s="3" t="s">
        <v>37</v>
      </c>
      <c r="E919" s="3" t="s">
        <v>31</v>
      </c>
      <c r="F919" s="3" t="s">
        <v>16</v>
      </c>
      <c r="G919" s="3" t="s">
        <v>17</v>
      </c>
      <c r="H919" s="3">
        <v>3048</v>
      </c>
      <c r="I919" s="3">
        <v>135</v>
      </c>
      <c r="J919" s="3">
        <v>5</v>
      </c>
      <c r="K919" s="12">
        <v>496.96</v>
      </c>
      <c r="L919" s="9">
        <v>708.94</v>
      </c>
      <c r="M919" s="16">
        <f t="shared" si="70"/>
        <v>4.4291338582677163E-2</v>
      </c>
      <c r="N919" s="18">
        <f t="shared" si="71"/>
        <v>3.7037037037037035E-2</v>
      </c>
      <c r="O919" s="8">
        <f t="shared" si="72"/>
        <v>99.391999999999996</v>
      </c>
      <c r="P919" s="14">
        <f t="shared" si="73"/>
        <v>211.98000000000008</v>
      </c>
      <c r="Q919" s="16">
        <f t="shared" si="74"/>
        <v>0.42655344494526737</v>
      </c>
    </row>
    <row r="920" spans="1:17" x14ac:dyDescent="0.2">
      <c r="A920" s="2">
        <v>45740</v>
      </c>
      <c r="B920" s="3" t="s">
        <v>1008</v>
      </c>
      <c r="C920" s="3" t="s">
        <v>97</v>
      </c>
      <c r="D920" s="3" t="s">
        <v>46</v>
      </c>
      <c r="E920" s="3" t="s">
        <v>31</v>
      </c>
      <c r="F920" s="3" t="s">
        <v>34</v>
      </c>
      <c r="G920" s="3" t="s">
        <v>17</v>
      </c>
      <c r="H920" s="3">
        <v>15227</v>
      </c>
      <c r="I920" s="3">
        <v>667</v>
      </c>
      <c r="J920" s="3">
        <v>20</v>
      </c>
      <c r="K920" s="12">
        <v>1104.18</v>
      </c>
      <c r="L920" s="9">
        <v>1309.0899999999999</v>
      </c>
      <c r="M920" s="16">
        <f t="shared" si="70"/>
        <v>4.3803769619754386E-2</v>
      </c>
      <c r="N920" s="18">
        <f t="shared" si="71"/>
        <v>2.9985007496251874E-2</v>
      </c>
      <c r="O920" s="8">
        <f t="shared" si="72"/>
        <v>55.209000000000003</v>
      </c>
      <c r="P920" s="14">
        <f t="shared" si="73"/>
        <v>204.90999999999985</v>
      </c>
      <c r="Q920" s="16">
        <f t="shared" si="74"/>
        <v>0.18557662699922101</v>
      </c>
    </row>
    <row r="921" spans="1:17" x14ac:dyDescent="0.2">
      <c r="A921" s="2">
        <v>45740</v>
      </c>
      <c r="B921" s="3" t="s">
        <v>478</v>
      </c>
      <c r="C921" s="3" t="s">
        <v>74</v>
      </c>
      <c r="D921" s="3" t="s">
        <v>28</v>
      </c>
      <c r="E921" s="3" t="s">
        <v>20</v>
      </c>
      <c r="F921" s="3" t="s">
        <v>47</v>
      </c>
      <c r="G921" s="3" t="s">
        <v>21</v>
      </c>
      <c r="H921" s="3">
        <v>23309</v>
      </c>
      <c r="I921" s="3">
        <v>468</v>
      </c>
      <c r="J921" s="3">
        <v>4</v>
      </c>
      <c r="K921" s="12">
        <v>573.95000000000005</v>
      </c>
      <c r="L921" s="9">
        <v>189.65</v>
      </c>
      <c r="M921" s="16">
        <f t="shared" si="70"/>
        <v>2.0078081427774678E-2</v>
      </c>
      <c r="N921" s="18">
        <f t="shared" si="71"/>
        <v>8.5470085470085479E-3</v>
      </c>
      <c r="O921" s="8">
        <f t="shared" si="72"/>
        <v>143.48750000000001</v>
      </c>
      <c r="P921" s="14">
        <f t="shared" si="73"/>
        <v>-384.30000000000007</v>
      </c>
      <c r="Q921" s="16">
        <f t="shared" si="74"/>
        <v>-0.66957052008014639</v>
      </c>
    </row>
    <row r="922" spans="1:17" x14ac:dyDescent="0.2">
      <c r="A922" s="2">
        <v>45740</v>
      </c>
      <c r="B922" s="3" t="s">
        <v>112</v>
      </c>
      <c r="C922" s="3" t="s">
        <v>43</v>
      </c>
      <c r="D922" s="3" t="s">
        <v>37</v>
      </c>
      <c r="E922" s="3" t="s">
        <v>31</v>
      </c>
      <c r="F922" s="3" t="s">
        <v>47</v>
      </c>
      <c r="G922" s="3" t="s">
        <v>17</v>
      </c>
      <c r="H922" s="3">
        <v>2180</v>
      </c>
      <c r="I922" s="3">
        <v>100</v>
      </c>
      <c r="J922" s="3">
        <v>1</v>
      </c>
      <c r="K922" s="12">
        <v>651.36</v>
      </c>
      <c r="L922" s="9">
        <v>178.71</v>
      </c>
      <c r="M922" s="16">
        <f t="shared" si="70"/>
        <v>4.5871559633027525E-2</v>
      </c>
      <c r="N922" s="18">
        <f t="shared" si="71"/>
        <v>0.01</v>
      </c>
      <c r="O922" s="8">
        <f t="shared" si="72"/>
        <v>651.36</v>
      </c>
      <c r="P922" s="14">
        <f t="shared" si="73"/>
        <v>-472.65</v>
      </c>
      <c r="Q922" s="16">
        <f t="shared" si="74"/>
        <v>-0.72563559322033888</v>
      </c>
    </row>
    <row r="923" spans="1:17" x14ac:dyDescent="0.2">
      <c r="A923" s="2">
        <v>45740</v>
      </c>
      <c r="B923" s="3" t="s">
        <v>1009</v>
      </c>
      <c r="C923" s="3" t="s">
        <v>36</v>
      </c>
      <c r="D923" s="3" t="s">
        <v>37</v>
      </c>
      <c r="E923" s="3" t="s">
        <v>20</v>
      </c>
      <c r="F923" s="3" t="s">
        <v>16</v>
      </c>
      <c r="G923" s="3" t="s">
        <v>21</v>
      </c>
      <c r="H923" s="3">
        <v>6542</v>
      </c>
      <c r="I923" s="3">
        <v>301</v>
      </c>
      <c r="J923" s="3">
        <v>5</v>
      </c>
      <c r="K923" s="12">
        <v>1341.65</v>
      </c>
      <c r="L923" s="9">
        <v>592.51</v>
      </c>
      <c r="M923" s="16">
        <f t="shared" si="70"/>
        <v>4.601039437480893E-2</v>
      </c>
      <c r="N923" s="18">
        <f t="shared" si="71"/>
        <v>1.6611295681063124E-2</v>
      </c>
      <c r="O923" s="8">
        <f t="shared" si="72"/>
        <v>268.33000000000004</v>
      </c>
      <c r="P923" s="14">
        <f t="shared" si="73"/>
        <v>-749.1400000000001</v>
      </c>
      <c r="Q923" s="16">
        <f t="shared" si="74"/>
        <v>-0.55837215369135029</v>
      </c>
    </row>
    <row r="924" spans="1:17" x14ac:dyDescent="0.2">
      <c r="A924" s="2">
        <v>45740</v>
      </c>
      <c r="B924" s="3" t="s">
        <v>90</v>
      </c>
      <c r="C924" s="3" t="s">
        <v>74</v>
      </c>
      <c r="D924" s="3" t="s">
        <v>28</v>
      </c>
      <c r="E924" s="3" t="s">
        <v>15</v>
      </c>
      <c r="F924" s="3" t="s">
        <v>29</v>
      </c>
      <c r="G924" s="3" t="s">
        <v>17</v>
      </c>
      <c r="H924" s="3">
        <v>18302</v>
      </c>
      <c r="I924" s="3">
        <v>430</v>
      </c>
      <c r="J924" s="3">
        <v>5</v>
      </c>
      <c r="K924" s="12">
        <v>613.20000000000005</v>
      </c>
      <c r="L924" s="9">
        <v>216.11</v>
      </c>
      <c r="M924" s="16">
        <f t="shared" si="70"/>
        <v>2.3494700032783301E-2</v>
      </c>
      <c r="N924" s="18">
        <f t="shared" si="71"/>
        <v>1.1627906976744186E-2</v>
      </c>
      <c r="O924" s="8">
        <f t="shared" si="72"/>
        <v>122.64000000000001</v>
      </c>
      <c r="P924" s="14">
        <f t="shared" si="73"/>
        <v>-397.09000000000003</v>
      </c>
      <c r="Q924" s="16">
        <f t="shared" si="74"/>
        <v>-0.64757012393998692</v>
      </c>
    </row>
    <row r="925" spans="1:17" x14ac:dyDescent="0.2">
      <c r="A925" s="2">
        <v>45740</v>
      </c>
      <c r="B925" s="3" t="s">
        <v>1010</v>
      </c>
      <c r="C925" s="3" t="s">
        <v>156</v>
      </c>
      <c r="D925" s="3" t="s">
        <v>46</v>
      </c>
      <c r="E925" s="3" t="s">
        <v>31</v>
      </c>
      <c r="F925" s="3" t="s">
        <v>29</v>
      </c>
      <c r="G925" s="3" t="s">
        <v>21</v>
      </c>
      <c r="H925" s="3">
        <v>14911</v>
      </c>
      <c r="I925" s="3">
        <v>406</v>
      </c>
      <c r="J925" s="3">
        <v>17</v>
      </c>
      <c r="K925" s="12">
        <v>735.55</v>
      </c>
      <c r="L925" s="9">
        <v>1115.78</v>
      </c>
      <c r="M925" s="16">
        <f t="shared" si="70"/>
        <v>2.7228220776607873E-2</v>
      </c>
      <c r="N925" s="18">
        <f t="shared" si="71"/>
        <v>4.1871921182266007E-2</v>
      </c>
      <c r="O925" s="8">
        <f t="shared" si="72"/>
        <v>43.267647058823528</v>
      </c>
      <c r="P925" s="14">
        <f t="shared" si="73"/>
        <v>380.23</v>
      </c>
      <c r="Q925" s="16">
        <f t="shared" si="74"/>
        <v>0.51693290734824282</v>
      </c>
    </row>
    <row r="926" spans="1:17" x14ac:dyDescent="0.2">
      <c r="A926" s="2">
        <v>45740</v>
      </c>
      <c r="B926" s="3" t="s">
        <v>533</v>
      </c>
      <c r="C926" s="3" t="s">
        <v>33</v>
      </c>
      <c r="D926" s="3" t="s">
        <v>28</v>
      </c>
      <c r="E926" s="3" t="s">
        <v>20</v>
      </c>
      <c r="F926" s="3" t="s">
        <v>29</v>
      </c>
      <c r="G926" s="3" t="s">
        <v>17</v>
      </c>
      <c r="H926" s="3">
        <v>30236</v>
      </c>
      <c r="I926" s="3">
        <v>396</v>
      </c>
      <c r="J926" s="3">
        <v>5</v>
      </c>
      <c r="K926" s="12">
        <v>546.33000000000004</v>
      </c>
      <c r="L926" s="9">
        <v>221.93</v>
      </c>
      <c r="M926" s="16">
        <f t="shared" si="70"/>
        <v>1.309697049874322E-2</v>
      </c>
      <c r="N926" s="18">
        <f t="shared" si="71"/>
        <v>1.2626262626262626E-2</v>
      </c>
      <c r="O926" s="8">
        <f t="shared" si="72"/>
        <v>109.26600000000001</v>
      </c>
      <c r="P926" s="14">
        <f t="shared" si="73"/>
        <v>-324.40000000000003</v>
      </c>
      <c r="Q926" s="16">
        <f t="shared" si="74"/>
        <v>-0.59378031592627167</v>
      </c>
    </row>
    <row r="927" spans="1:17" x14ac:dyDescent="0.2">
      <c r="A927" s="2">
        <v>45741</v>
      </c>
      <c r="B927" s="3" t="s">
        <v>30</v>
      </c>
      <c r="C927" s="3" t="s">
        <v>41</v>
      </c>
      <c r="D927" s="3" t="s">
        <v>24</v>
      </c>
      <c r="E927" s="3" t="s">
        <v>20</v>
      </c>
      <c r="F927" s="3" t="s">
        <v>34</v>
      </c>
      <c r="G927" s="3" t="s">
        <v>21</v>
      </c>
      <c r="H927" s="3">
        <v>3979</v>
      </c>
      <c r="I927" s="3">
        <v>552</v>
      </c>
      <c r="J927" s="3">
        <v>72</v>
      </c>
      <c r="K927" s="12">
        <v>134.69</v>
      </c>
      <c r="L927" s="9">
        <v>6735.54</v>
      </c>
      <c r="M927" s="16">
        <f t="shared" si="70"/>
        <v>0.13872832369942195</v>
      </c>
      <c r="N927" s="18">
        <f t="shared" si="71"/>
        <v>0.13043478260869565</v>
      </c>
      <c r="O927" s="8">
        <f t="shared" si="72"/>
        <v>1.8706944444444444</v>
      </c>
      <c r="P927" s="14">
        <f t="shared" si="73"/>
        <v>6600.85</v>
      </c>
      <c r="Q927" s="16">
        <f t="shared" si="74"/>
        <v>49.007721434404935</v>
      </c>
    </row>
    <row r="928" spans="1:17" x14ac:dyDescent="0.2">
      <c r="A928" s="2">
        <v>45741</v>
      </c>
      <c r="B928" s="3" t="s">
        <v>1011</v>
      </c>
      <c r="C928" s="3" t="s">
        <v>49</v>
      </c>
      <c r="D928" s="3" t="s">
        <v>46</v>
      </c>
      <c r="E928" s="3" t="s">
        <v>20</v>
      </c>
      <c r="F928" s="3" t="s">
        <v>47</v>
      </c>
      <c r="G928" s="3" t="s">
        <v>17</v>
      </c>
      <c r="H928" s="3">
        <v>15914</v>
      </c>
      <c r="I928" s="3">
        <v>683</v>
      </c>
      <c r="J928" s="3">
        <v>13</v>
      </c>
      <c r="K928" s="12">
        <v>814.47</v>
      </c>
      <c r="L928" s="9">
        <v>930.78</v>
      </c>
      <c r="M928" s="16">
        <f t="shared" si="70"/>
        <v>4.2918185245695614E-2</v>
      </c>
      <c r="N928" s="18">
        <f t="shared" si="71"/>
        <v>1.9033674963396779E-2</v>
      </c>
      <c r="O928" s="8">
        <f t="shared" si="72"/>
        <v>62.651538461538465</v>
      </c>
      <c r="P928" s="14">
        <f t="shared" si="73"/>
        <v>116.30999999999995</v>
      </c>
      <c r="Q928" s="16">
        <f t="shared" si="74"/>
        <v>0.14280452318685763</v>
      </c>
    </row>
    <row r="929" spans="1:17" x14ac:dyDescent="0.2">
      <c r="A929" s="2">
        <v>45741</v>
      </c>
      <c r="B929" s="3" t="s">
        <v>1012</v>
      </c>
      <c r="C929" s="3" t="s">
        <v>19</v>
      </c>
      <c r="D929" s="3" t="s">
        <v>14</v>
      </c>
      <c r="E929" s="3" t="s">
        <v>15</v>
      </c>
      <c r="F929" s="3" t="s">
        <v>47</v>
      </c>
      <c r="G929" s="3" t="s">
        <v>17</v>
      </c>
      <c r="H929" s="3">
        <v>14507</v>
      </c>
      <c r="I929" s="3">
        <v>796</v>
      </c>
      <c r="J929" s="3">
        <v>23</v>
      </c>
      <c r="K929" s="12">
        <v>1791.75</v>
      </c>
      <c r="L929" s="9">
        <v>2173.6799999999998</v>
      </c>
      <c r="M929" s="16">
        <f t="shared" si="70"/>
        <v>5.4870062728338047E-2</v>
      </c>
      <c r="N929" s="18">
        <f t="shared" si="71"/>
        <v>2.8894472361809045E-2</v>
      </c>
      <c r="O929" s="8">
        <f t="shared" si="72"/>
        <v>77.902173913043484</v>
      </c>
      <c r="P929" s="14">
        <f t="shared" si="73"/>
        <v>381.92999999999984</v>
      </c>
      <c r="Q929" s="16">
        <f t="shared" si="74"/>
        <v>0.21316031812473829</v>
      </c>
    </row>
    <row r="930" spans="1:17" x14ac:dyDescent="0.2">
      <c r="A930" s="2">
        <v>45741</v>
      </c>
      <c r="B930" s="3" t="s">
        <v>437</v>
      </c>
      <c r="C930" s="3" t="s">
        <v>39</v>
      </c>
      <c r="D930" s="3" t="s">
        <v>28</v>
      </c>
      <c r="E930" s="3" t="s">
        <v>15</v>
      </c>
      <c r="F930" s="3" t="s">
        <v>50</v>
      </c>
      <c r="G930" s="3" t="s">
        <v>25</v>
      </c>
      <c r="H930" s="3">
        <v>33477</v>
      </c>
      <c r="I930" s="3">
        <v>495</v>
      </c>
      <c r="J930" s="3">
        <v>3</v>
      </c>
      <c r="K930" s="12">
        <v>501.28</v>
      </c>
      <c r="L930" s="9">
        <v>165.44</v>
      </c>
      <c r="M930" s="16">
        <f t="shared" si="70"/>
        <v>1.4786271171251905E-2</v>
      </c>
      <c r="N930" s="18">
        <f t="shared" si="71"/>
        <v>6.0606060606060606E-3</v>
      </c>
      <c r="O930" s="8">
        <f t="shared" si="72"/>
        <v>167.09333333333333</v>
      </c>
      <c r="P930" s="14">
        <f t="shared" si="73"/>
        <v>-335.84</v>
      </c>
      <c r="Q930" s="16">
        <f t="shared" si="74"/>
        <v>-0.66996488988190228</v>
      </c>
    </row>
    <row r="931" spans="1:17" x14ac:dyDescent="0.2">
      <c r="A931" s="2">
        <v>45741</v>
      </c>
      <c r="B931" s="3" t="s">
        <v>169</v>
      </c>
      <c r="C931" s="3" t="s">
        <v>156</v>
      </c>
      <c r="D931" s="3" t="s">
        <v>46</v>
      </c>
      <c r="E931" s="3" t="s">
        <v>20</v>
      </c>
      <c r="F931" s="3" t="s">
        <v>34</v>
      </c>
      <c r="G931" s="3" t="s">
        <v>17</v>
      </c>
      <c r="H931" s="3">
        <v>18651</v>
      </c>
      <c r="I931" s="3">
        <v>603</v>
      </c>
      <c r="J931" s="3">
        <v>16</v>
      </c>
      <c r="K931" s="12">
        <v>807.23</v>
      </c>
      <c r="L931" s="9">
        <v>1281.42</v>
      </c>
      <c r="M931" s="16">
        <f t="shared" si="70"/>
        <v>3.2330706128357728E-2</v>
      </c>
      <c r="N931" s="18">
        <f t="shared" si="71"/>
        <v>2.6533996683250415E-2</v>
      </c>
      <c r="O931" s="8">
        <f t="shared" si="72"/>
        <v>50.451875000000001</v>
      </c>
      <c r="P931" s="14">
        <f t="shared" si="73"/>
        <v>474.19000000000005</v>
      </c>
      <c r="Q931" s="16">
        <f t="shared" si="74"/>
        <v>0.58742861390186196</v>
      </c>
    </row>
    <row r="932" spans="1:17" x14ac:dyDescent="0.2">
      <c r="A932" s="2">
        <v>45741</v>
      </c>
      <c r="B932" s="3" t="s">
        <v>1013</v>
      </c>
      <c r="C932" s="3" t="s">
        <v>36</v>
      </c>
      <c r="D932" s="3" t="s">
        <v>37</v>
      </c>
      <c r="E932" s="3" t="s">
        <v>31</v>
      </c>
      <c r="F932" s="3" t="s">
        <v>34</v>
      </c>
      <c r="G932" s="3" t="s">
        <v>17</v>
      </c>
      <c r="H932" s="3">
        <v>3395</v>
      </c>
      <c r="I932" s="3">
        <v>202</v>
      </c>
      <c r="J932" s="3">
        <v>3</v>
      </c>
      <c r="K932" s="12">
        <v>1294.07</v>
      </c>
      <c r="L932" s="9">
        <v>476.22</v>
      </c>
      <c r="M932" s="16">
        <f t="shared" si="70"/>
        <v>5.949926362297496E-2</v>
      </c>
      <c r="N932" s="18">
        <f t="shared" si="71"/>
        <v>1.4851485148514851E-2</v>
      </c>
      <c r="O932" s="8">
        <f t="shared" si="72"/>
        <v>431.35666666666663</v>
      </c>
      <c r="P932" s="14">
        <f t="shared" si="73"/>
        <v>-817.84999999999991</v>
      </c>
      <c r="Q932" s="16">
        <f t="shared" si="74"/>
        <v>-0.63199826902717782</v>
      </c>
    </row>
    <row r="933" spans="1:17" x14ac:dyDescent="0.2">
      <c r="A933" s="2">
        <v>45741</v>
      </c>
      <c r="B933" s="3" t="s">
        <v>343</v>
      </c>
      <c r="C933" s="3" t="s">
        <v>27</v>
      </c>
      <c r="D933" s="3" t="s">
        <v>28</v>
      </c>
      <c r="E933" s="3" t="s">
        <v>31</v>
      </c>
      <c r="F933" s="3" t="s">
        <v>16</v>
      </c>
      <c r="G933" s="3" t="s">
        <v>21</v>
      </c>
      <c r="H933" s="3">
        <v>22864</v>
      </c>
      <c r="I933" s="3">
        <v>622</v>
      </c>
      <c r="J933" s="3">
        <v>17</v>
      </c>
      <c r="K933" s="12">
        <v>631.78</v>
      </c>
      <c r="L933" s="9">
        <v>1324.63</v>
      </c>
      <c r="M933" s="16">
        <f t="shared" si="70"/>
        <v>2.7204338698390482E-2</v>
      </c>
      <c r="N933" s="18">
        <f t="shared" si="71"/>
        <v>2.7331189710610933E-2</v>
      </c>
      <c r="O933" s="8">
        <f t="shared" si="72"/>
        <v>37.163529411764706</v>
      </c>
      <c r="P933" s="14">
        <f t="shared" si="73"/>
        <v>692.85000000000014</v>
      </c>
      <c r="Q933" s="16">
        <f t="shared" si="74"/>
        <v>1.0966633954857705</v>
      </c>
    </row>
    <row r="934" spans="1:17" x14ac:dyDescent="0.2">
      <c r="A934" s="2">
        <v>45741</v>
      </c>
      <c r="B934" s="3" t="s">
        <v>1014</v>
      </c>
      <c r="C934" s="3" t="s">
        <v>49</v>
      </c>
      <c r="D934" s="3" t="s">
        <v>46</v>
      </c>
      <c r="E934" s="3" t="s">
        <v>20</v>
      </c>
      <c r="F934" s="3" t="s">
        <v>47</v>
      </c>
      <c r="G934" s="3" t="s">
        <v>17</v>
      </c>
      <c r="H934" s="3">
        <v>14560</v>
      </c>
      <c r="I934" s="3">
        <v>303</v>
      </c>
      <c r="J934" s="3">
        <v>5</v>
      </c>
      <c r="K934" s="12">
        <v>513.29999999999995</v>
      </c>
      <c r="L934" s="9">
        <v>478.23</v>
      </c>
      <c r="M934" s="16">
        <f t="shared" si="70"/>
        <v>2.0810439560439559E-2</v>
      </c>
      <c r="N934" s="18">
        <f t="shared" si="71"/>
        <v>1.65016501650165E-2</v>
      </c>
      <c r="O934" s="8">
        <f t="shared" si="72"/>
        <v>102.66</v>
      </c>
      <c r="P934" s="14">
        <f t="shared" si="73"/>
        <v>-35.069999999999936</v>
      </c>
      <c r="Q934" s="16">
        <f t="shared" si="74"/>
        <v>-6.8322618351840905E-2</v>
      </c>
    </row>
    <row r="935" spans="1:17" x14ac:dyDescent="0.2">
      <c r="A935" s="2">
        <v>45741</v>
      </c>
      <c r="B935" s="3" t="s">
        <v>1015</v>
      </c>
      <c r="C935" s="3" t="s">
        <v>41</v>
      </c>
      <c r="D935" s="3" t="s">
        <v>24</v>
      </c>
      <c r="E935" s="3" t="s">
        <v>31</v>
      </c>
      <c r="F935" s="3" t="s">
        <v>29</v>
      </c>
      <c r="G935" s="3" t="s">
        <v>21</v>
      </c>
      <c r="H935" s="3">
        <v>3972</v>
      </c>
      <c r="I935" s="3">
        <v>570</v>
      </c>
      <c r="J935" s="3">
        <v>163</v>
      </c>
      <c r="K935" s="12">
        <v>155.1</v>
      </c>
      <c r="L935" s="9">
        <v>25016.18</v>
      </c>
      <c r="M935" s="16">
        <f t="shared" si="70"/>
        <v>0.14350453172205438</v>
      </c>
      <c r="N935" s="18">
        <f t="shared" si="71"/>
        <v>0.28596491228070176</v>
      </c>
      <c r="O935" s="8">
        <f t="shared" si="72"/>
        <v>0.95153374233128829</v>
      </c>
      <c r="P935" s="14">
        <f t="shared" si="73"/>
        <v>24861.08</v>
      </c>
      <c r="Q935" s="16">
        <f t="shared" si="74"/>
        <v>160.29065119277888</v>
      </c>
    </row>
    <row r="936" spans="1:17" x14ac:dyDescent="0.2">
      <c r="A936" s="2">
        <v>45741</v>
      </c>
      <c r="B936" s="3" t="s">
        <v>214</v>
      </c>
      <c r="C936" s="3" t="s">
        <v>120</v>
      </c>
      <c r="D936" s="3" t="s">
        <v>14</v>
      </c>
      <c r="E936" s="3" t="s">
        <v>20</v>
      </c>
      <c r="F936" s="3" t="s">
        <v>16</v>
      </c>
      <c r="G936" s="3" t="s">
        <v>25</v>
      </c>
      <c r="H936" s="3">
        <v>11016</v>
      </c>
      <c r="I936" s="3">
        <v>487</v>
      </c>
      <c r="J936" s="3">
        <v>17</v>
      </c>
      <c r="K936" s="12">
        <v>1227.5899999999999</v>
      </c>
      <c r="L936" s="9">
        <v>1592.45</v>
      </c>
      <c r="M936" s="16">
        <f t="shared" si="70"/>
        <v>4.4208424110384892E-2</v>
      </c>
      <c r="N936" s="18">
        <f t="shared" si="71"/>
        <v>3.4907597535934289E-2</v>
      </c>
      <c r="O936" s="8">
        <f t="shared" si="72"/>
        <v>72.211176470588228</v>
      </c>
      <c r="P936" s="14">
        <f t="shared" si="73"/>
        <v>364.86000000000013</v>
      </c>
      <c r="Q936" s="16">
        <f t="shared" si="74"/>
        <v>0.29721649736475547</v>
      </c>
    </row>
    <row r="937" spans="1:17" x14ac:dyDescent="0.2">
      <c r="A937" s="2">
        <v>45741</v>
      </c>
      <c r="B937" s="3" t="s">
        <v>1016</v>
      </c>
      <c r="C937" s="3" t="s">
        <v>36</v>
      </c>
      <c r="D937" s="3" t="s">
        <v>37</v>
      </c>
      <c r="E937" s="3" t="s">
        <v>20</v>
      </c>
      <c r="F937" s="3" t="s">
        <v>47</v>
      </c>
      <c r="G937" s="3" t="s">
        <v>17</v>
      </c>
      <c r="H937" s="3">
        <v>2392</v>
      </c>
      <c r="I937" s="3">
        <v>66</v>
      </c>
      <c r="J937" s="3">
        <v>1</v>
      </c>
      <c r="K937" s="12">
        <v>514.91999999999996</v>
      </c>
      <c r="L937" s="9">
        <v>122.97</v>
      </c>
      <c r="M937" s="16">
        <f t="shared" si="70"/>
        <v>2.7591973244147156E-2</v>
      </c>
      <c r="N937" s="18">
        <f t="shared" si="71"/>
        <v>1.5151515151515152E-2</v>
      </c>
      <c r="O937" s="8">
        <f t="shared" si="72"/>
        <v>514.91999999999996</v>
      </c>
      <c r="P937" s="14">
        <f t="shared" si="73"/>
        <v>-391.94999999999993</v>
      </c>
      <c r="Q937" s="16">
        <f t="shared" si="74"/>
        <v>-0.76118620368212531</v>
      </c>
    </row>
    <row r="938" spans="1:17" x14ac:dyDescent="0.2">
      <c r="A938" s="2">
        <v>45742</v>
      </c>
      <c r="B938" s="3" t="s">
        <v>164</v>
      </c>
      <c r="C938" s="3" t="s">
        <v>52</v>
      </c>
      <c r="D938" s="3" t="s">
        <v>24</v>
      </c>
      <c r="E938" s="3" t="s">
        <v>31</v>
      </c>
      <c r="F938" s="3" t="s">
        <v>50</v>
      </c>
      <c r="G938" s="3" t="s">
        <v>17</v>
      </c>
      <c r="H938" s="3">
        <v>1049</v>
      </c>
      <c r="I938" s="3">
        <v>176</v>
      </c>
      <c r="J938" s="3">
        <v>28</v>
      </c>
      <c r="K938" s="12">
        <v>87.1</v>
      </c>
      <c r="L938" s="9">
        <v>3164.92</v>
      </c>
      <c r="M938" s="16">
        <f t="shared" si="70"/>
        <v>0.16777883698760723</v>
      </c>
      <c r="N938" s="18">
        <f t="shared" si="71"/>
        <v>0.15909090909090909</v>
      </c>
      <c r="O938" s="8">
        <f t="shared" si="72"/>
        <v>3.1107142857142853</v>
      </c>
      <c r="P938" s="14">
        <f t="shared" si="73"/>
        <v>3077.82</v>
      </c>
      <c r="Q938" s="16">
        <f t="shared" si="74"/>
        <v>35.336624569460398</v>
      </c>
    </row>
    <row r="939" spans="1:17" x14ac:dyDescent="0.2">
      <c r="A939" s="2">
        <v>45742</v>
      </c>
      <c r="B939" s="3" t="s">
        <v>285</v>
      </c>
      <c r="C939" s="3" t="s">
        <v>49</v>
      </c>
      <c r="D939" s="3" t="s">
        <v>46</v>
      </c>
      <c r="E939" s="3" t="s">
        <v>31</v>
      </c>
      <c r="F939" s="3" t="s">
        <v>47</v>
      </c>
      <c r="G939" s="3" t="s">
        <v>21</v>
      </c>
      <c r="H939" s="3">
        <v>17955</v>
      </c>
      <c r="I939" s="3">
        <v>304</v>
      </c>
      <c r="J939" s="3">
        <v>15</v>
      </c>
      <c r="K939" s="12">
        <v>472.85</v>
      </c>
      <c r="L939" s="9">
        <v>872.53</v>
      </c>
      <c r="M939" s="16">
        <f t="shared" si="70"/>
        <v>1.6931216931216932E-2</v>
      </c>
      <c r="N939" s="18">
        <f t="shared" si="71"/>
        <v>4.9342105263157895E-2</v>
      </c>
      <c r="O939" s="8">
        <f t="shared" si="72"/>
        <v>31.523333333333333</v>
      </c>
      <c r="P939" s="14">
        <f t="shared" si="73"/>
        <v>399.67999999999995</v>
      </c>
      <c r="Q939" s="16">
        <f t="shared" si="74"/>
        <v>0.84525748123083411</v>
      </c>
    </row>
    <row r="940" spans="1:17" x14ac:dyDescent="0.2">
      <c r="A940" s="2">
        <v>45742</v>
      </c>
      <c r="B940" s="3" t="s">
        <v>1017</v>
      </c>
      <c r="C940" s="3" t="s">
        <v>97</v>
      </c>
      <c r="D940" s="3" t="s">
        <v>46</v>
      </c>
      <c r="E940" s="3" t="s">
        <v>20</v>
      </c>
      <c r="F940" s="3" t="s">
        <v>34</v>
      </c>
      <c r="G940" s="3" t="s">
        <v>17</v>
      </c>
      <c r="H940" s="3">
        <v>10840</v>
      </c>
      <c r="I940" s="3">
        <v>386</v>
      </c>
      <c r="J940" s="3">
        <v>9</v>
      </c>
      <c r="K940" s="12">
        <v>424.91</v>
      </c>
      <c r="L940" s="9">
        <v>521.58000000000004</v>
      </c>
      <c r="M940" s="16">
        <f t="shared" si="70"/>
        <v>3.5608856088560889E-2</v>
      </c>
      <c r="N940" s="18">
        <f t="shared" si="71"/>
        <v>2.3316062176165803E-2</v>
      </c>
      <c r="O940" s="8">
        <f t="shared" si="72"/>
        <v>47.212222222222223</v>
      </c>
      <c r="P940" s="14">
        <f t="shared" si="73"/>
        <v>96.670000000000016</v>
      </c>
      <c r="Q940" s="16">
        <f t="shared" si="74"/>
        <v>0.22750700148266695</v>
      </c>
    </row>
    <row r="941" spans="1:17" x14ac:dyDescent="0.2">
      <c r="A941" s="2">
        <v>45742</v>
      </c>
      <c r="B941" s="3" t="s">
        <v>524</v>
      </c>
      <c r="C941" s="3" t="s">
        <v>41</v>
      </c>
      <c r="D941" s="3" t="s">
        <v>24</v>
      </c>
      <c r="E941" s="3" t="s">
        <v>20</v>
      </c>
      <c r="F941" s="3" t="s">
        <v>34</v>
      </c>
      <c r="G941" s="3" t="s">
        <v>25</v>
      </c>
      <c r="H941" s="3">
        <v>4287</v>
      </c>
      <c r="I941" s="3">
        <v>543</v>
      </c>
      <c r="J941" s="3">
        <v>45</v>
      </c>
      <c r="K941" s="12">
        <v>256.51</v>
      </c>
      <c r="L941" s="9">
        <v>6064.19</v>
      </c>
      <c r="M941" s="16">
        <f t="shared" si="70"/>
        <v>0.12666200139958012</v>
      </c>
      <c r="N941" s="18">
        <f t="shared" si="71"/>
        <v>8.2872928176795577E-2</v>
      </c>
      <c r="O941" s="8">
        <f t="shared" si="72"/>
        <v>5.7002222222222221</v>
      </c>
      <c r="P941" s="14">
        <f t="shared" si="73"/>
        <v>5807.6799999999994</v>
      </c>
      <c r="Q941" s="16">
        <f t="shared" si="74"/>
        <v>22.641144594752639</v>
      </c>
    </row>
    <row r="942" spans="1:17" x14ac:dyDescent="0.2">
      <c r="A942" s="2">
        <v>45742</v>
      </c>
      <c r="B942" s="3" t="s">
        <v>1018</v>
      </c>
      <c r="C942" s="3" t="s">
        <v>110</v>
      </c>
      <c r="D942" s="3" t="s">
        <v>24</v>
      </c>
      <c r="E942" s="3" t="s">
        <v>31</v>
      </c>
      <c r="F942" s="3" t="s">
        <v>34</v>
      </c>
      <c r="G942" s="3" t="s">
        <v>21</v>
      </c>
      <c r="H942" s="3">
        <v>2464</v>
      </c>
      <c r="I942" s="3">
        <v>362</v>
      </c>
      <c r="J942" s="3">
        <v>101</v>
      </c>
      <c r="K942" s="12">
        <v>111.3</v>
      </c>
      <c r="L942" s="9">
        <v>14722.13</v>
      </c>
      <c r="M942" s="16">
        <f t="shared" si="70"/>
        <v>0.14691558441558442</v>
      </c>
      <c r="N942" s="18">
        <f t="shared" si="71"/>
        <v>0.27900552486187846</v>
      </c>
      <c r="O942" s="8">
        <f t="shared" si="72"/>
        <v>1.1019801980198018</v>
      </c>
      <c r="P942" s="14">
        <f t="shared" si="73"/>
        <v>14610.83</v>
      </c>
      <c r="Q942" s="16">
        <f t="shared" si="74"/>
        <v>131.27430368373766</v>
      </c>
    </row>
    <row r="943" spans="1:17" x14ac:dyDescent="0.2">
      <c r="A943" s="2">
        <v>45742</v>
      </c>
      <c r="B943" s="3" t="s">
        <v>70</v>
      </c>
      <c r="C943" s="3" t="s">
        <v>43</v>
      </c>
      <c r="D943" s="3" t="s">
        <v>37</v>
      </c>
      <c r="E943" s="3" t="s">
        <v>31</v>
      </c>
      <c r="F943" s="3" t="s">
        <v>29</v>
      </c>
      <c r="G943" s="3" t="s">
        <v>17</v>
      </c>
      <c r="H943" s="3">
        <v>2069</v>
      </c>
      <c r="I943" s="3">
        <v>69</v>
      </c>
      <c r="J943" s="3">
        <v>1</v>
      </c>
      <c r="K943" s="12">
        <v>407.43</v>
      </c>
      <c r="L943" s="9">
        <v>177.9</v>
      </c>
      <c r="M943" s="16">
        <f t="shared" si="70"/>
        <v>3.3349444175930401E-2</v>
      </c>
      <c r="N943" s="18">
        <f t="shared" si="71"/>
        <v>1.4492753623188406E-2</v>
      </c>
      <c r="O943" s="8">
        <f t="shared" si="72"/>
        <v>407.43</v>
      </c>
      <c r="P943" s="14">
        <f t="shared" si="73"/>
        <v>-229.53</v>
      </c>
      <c r="Q943" s="16">
        <f t="shared" si="74"/>
        <v>-0.56336057727707822</v>
      </c>
    </row>
    <row r="944" spans="1:17" x14ac:dyDescent="0.2">
      <c r="A944" s="2">
        <v>45742</v>
      </c>
      <c r="B944" s="3" t="s">
        <v>1019</v>
      </c>
      <c r="C944" s="3" t="s">
        <v>19</v>
      </c>
      <c r="D944" s="3" t="s">
        <v>14</v>
      </c>
      <c r="E944" s="3" t="s">
        <v>31</v>
      </c>
      <c r="F944" s="3" t="s">
        <v>50</v>
      </c>
      <c r="G944" s="3" t="s">
        <v>17</v>
      </c>
      <c r="H944" s="3">
        <v>5438</v>
      </c>
      <c r="I944" s="3">
        <v>284</v>
      </c>
      <c r="J944" s="3">
        <v>17</v>
      </c>
      <c r="K944" s="12">
        <v>633.47</v>
      </c>
      <c r="L944" s="9">
        <v>1322.63</v>
      </c>
      <c r="M944" s="16">
        <f t="shared" si="70"/>
        <v>5.2225082751011398E-2</v>
      </c>
      <c r="N944" s="18">
        <f t="shared" si="71"/>
        <v>5.9859154929577461E-2</v>
      </c>
      <c r="O944" s="8">
        <f t="shared" si="72"/>
        <v>37.262941176470591</v>
      </c>
      <c r="P944" s="14">
        <f t="shared" si="73"/>
        <v>689.16000000000008</v>
      </c>
      <c r="Q944" s="16">
        <f t="shared" si="74"/>
        <v>1.0879126083318864</v>
      </c>
    </row>
    <row r="945" spans="1:17" x14ac:dyDescent="0.2">
      <c r="A945" s="2">
        <v>45742</v>
      </c>
      <c r="B945" s="3" t="s">
        <v>251</v>
      </c>
      <c r="C945" s="3" t="s">
        <v>27</v>
      </c>
      <c r="D945" s="3" t="s">
        <v>28</v>
      </c>
      <c r="E945" s="3" t="s">
        <v>20</v>
      </c>
      <c r="F945" s="3" t="s">
        <v>47</v>
      </c>
      <c r="G945" s="3" t="s">
        <v>17</v>
      </c>
      <c r="H945" s="3">
        <v>25917</v>
      </c>
      <c r="I945" s="3">
        <v>771</v>
      </c>
      <c r="J945" s="3">
        <v>7</v>
      </c>
      <c r="K945" s="12">
        <v>678.98</v>
      </c>
      <c r="L945" s="9">
        <v>446.03</v>
      </c>
      <c r="M945" s="16">
        <f t="shared" si="70"/>
        <v>2.9748813520083343E-2</v>
      </c>
      <c r="N945" s="18">
        <f t="shared" si="71"/>
        <v>9.0791180285343717E-3</v>
      </c>
      <c r="O945" s="8">
        <f t="shared" si="72"/>
        <v>96.997142857142862</v>
      </c>
      <c r="P945" s="14">
        <f t="shared" si="73"/>
        <v>-232.95000000000005</v>
      </c>
      <c r="Q945" s="16">
        <f t="shared" si="74"/>
        <v>-0.34308816165424616</v>
      </c>
    </row>
    <row r="946" spans="1:17" x14ac:dyDescent="0.2">
      <c r="A946" s="2">
        <v>45742</v>
      </c>
      <c r="B946" s="3" t="s">
        <v>511</v>
      </c>
      <c r="C946" s="3" t="s">
        <v>19</v>
      </c>
      <c r="D946" s="3" t="s">
        <v>14</v>
      </c>
      <c r="E946" s="3" t="s">
        <v>31</v>
      </c>
      <c r="F946" s="3" t="s">
        <v>34</v>
      </c>
      <c r="G946" s="3" t="s">
        <v>21</v>
      </c>
      <c r="H946" s="3">
        <v>9806</v>
      </c>
      <c r="I946" s="3">
        <v>499</v>
      </c>
      <c r="J946" s="3">
        <v>28</v>
      </c>
      <c r="K946" s="12">
        <v>1127.1600000000001</v>
      </c>
      <c r="L946" s="9">
        <v>2956.91</v>
      </c>
      <c r="M946" s="16">
        <f t="shared" si="70"/>
        <v>5.0887211911074849E-2</v>
      </c>
      <c r="N946" s="18">
        <f t="shared" si="71"/>
        <v>5.6112224448897796E-2</v>
      </c>
      <c r="O946" s="8">
        <f t="shared" si="72"/>
        <v>40.255714285714291</v>
      </c>
      <c r="P946" s="14">
        <f t="shared" si="73"/>
        <v>1829.7499999999998</v>
      </c>
      <c r="Q946" s="16">
        <f t="shared" si="74"/>
        <v>1.6233276553461795</v>
      </c>
    </row>
    <row r="947" spans="1:17" x14ac:dyDescent="0.2">
      <c r="A947" s="2">
        <v>45742</v>
      </c>
      <c r="B947" s="3" t="s">
        <v>499</v>
      </c>
      <c r="C947" s="3" t="s">
        <v>97</v>
      </c>
      <c r="D947" s="3" t="s">
        <v>46</v>
      </c>
      <c r="E947" s="3" t="s">
        <v>20</v>
      </c>
      <c r="F947" s="3" t="s">
        <v>50</v>
      </c>
      <c r="G947" s="3" t="s">
        <v>21</v>
      </c>
      <c r="H947" s="3">
        <v>19517</v>
      </c>
      <c r="I947" s="3">
        <v>579</v>
      </c>
      <c r="J947" s="3">
        <v>18</v>
      </c>
      <c r="K947" s="12">
        <v>1116.8900000000001</v>
      </c>
      <c r="L947" s="9">
        <v>1401.88</v>
      </c>
      <c r="M947" s="16">
        <f t="shared" si="70"/>
        <v>2.966644463800789E-2</v>
      </c>
      <c r="N947" s="18">
        <f t="shared" si="71"/>
        <v>3.1088082901554404E-2</v>
      </c>
      <c r="O947" s="8">
        <f t="shared" si="72"/>
        <v>62.049444444444447</v>
      </c>
      <c r="P947" s="14">
        <f t="shared" si="73"/>
        <v>284.99</v>
      </c>
      <c r="Q947" s="16">
        <f t="shared" si="74"/>
        <v>0.25516389259461542</v>
      </c>
    </row>
    <row r="948" spans="1:17" x14ac:dyDescent="0.2">
      <c r="A948" s="2">
        <v>45742</v>
      </c>
      <c r="B948" s="3" t="s">
        <v>1020</v>
      </c>
      <c r="C948" s="3" t="s">
        <v>23</v>
      </c>
      <c r="D948" s="3" t="s">
        <v>24</v>
      </c>
      <c r="E948" s="3" t="s">
        <v>20</v>
      </c>
      <c r="F948" s="3" t="s">
        <v>50</v>
      </c>
      <c r="G948" s="3" t="s">
        <v>17</v>
      </c>
      <c r="H948" s="3">
        <v>4101</v>
      </c>
      <c r="I948" s="3">
        <v>542</v>
      </c>
      <c r="J948" s="3">
        <v>39</v>
      </c>
      <c r="K948" s="12">
        <v>167.46</v>
      </c>
      <c r="L948" s="9">
        <v>3612.25</v>
      </c>
      <c r="M948" s="16">
        <f t="shared" si="70"/>
        <v>0.13216288710070714</v>
      </c>
      <c r="N948" s="18">
        <f t="shared" si="71"/>
        <v>7.1955719557195569E-2</v>
      </c>
      <c r="O948" s="8">
        <f t="shared" si="72"/>
        <v>4.2938461538461539</v>
      </c>
      <c r="P948" s="14">
        <f t="shared" si="73"/>
        <v>3444.79</v>
      </c>
      <c r="Q948" s="16">
        <f t="shared" si="74"/>
        <v>20.570822883076556</v>
      </c>
    </row>
    <row r="949" spans="1:17" x14ac:dyDescent="0.2">
      <c r="A949" s="2">
        <v>45742</v>
      </c>
      <c r="B949" s="3" t="s">
        <v>1021</v>
      </c>
      <c r="C949" s="3" t="s">
        <v>58</v>
      </c>
      <c r="D949" s="3" t="s">
        <v>37</v>
      </c>
      <c r="E949" s="3" t="s">
        <v>20</v>
      </c>
      <c r="F949" s="3" t="s">
        <v>50</v>
      </c>
      <c r="G949" s="3" t="s">
        <v>21</v>
      </c>
      <c r="H949" s="3">
        <v>5270</v>
      </c>
      <c r="I949" s="3">
        <v>251</v>
      </c>
      <c r="J949" s="3">
        <v>2</v>
      </c>
      <c r="K949" s="12">
        <v>1579.67</v>
      </c>
      <c r="L949" s="9">
        <v>402.95</v>
      </c>
      <c r="M949" s="16">
        <f t="shared" si="70"/>
        <v>4.7628083491461103E-2</v>
      </c>
      <c r="N949" s="18">
        <f t="shared" si="71"/>
        <v>7.9681274900398405E-3</v>
      </c>
      <c r="O949" s="8">
        <f t="shared" si="72"/>
        <v>789.83500000000004</v>
      </c>
      <c r="P949" s="14">
        <f t="shared" si="73"/>
        <v>-1176.72</v>
      </c>
      <c r="Q949" s="16">
        <f t="shared" si="74"/>
        <v>-0.74491507719966832</v>
      </c>
    </row>
    <row r="950" spans="1:17" x14ac:dyDescent="0.2">
      <c r="A950" s="2">
        <v>45742</v>
      </c>
      <c r="B950" s="3" t="s">
        <v>1022</v>
      </c>
      <c r="C950" s="3" t="s">
        <v>43</v>
      </c>
      <c r="D950" s="3" t="s">
        <v>37</v>
      </c>
      <c r="E950" s="3" t="s">
        <v>31</v>
      </c>
      <c r="F950" s="3" t="s">
        <v>16</v>
      </c>
      <c r="G950" s="3" t="s">
        <v>17</v>
      </c>
      <c r="H950" s="3">
        <v>5002</v>
      </c>
      <c r="I950" s="3">
        <v>138</v>
      </c>
      <c r="J950" s="3">
        <v>3</v>
      </c>
      <c r="K950" s="12">
        <v>716.86</v>
      </c>
      <c r="L950" s="9">
        <v>555.24</v>
      </c>
      <c r="M950" s="16">
        <f t="shared" si="70"/>
        <v>2.7588964414234307E-2</v>
      </c>
      <c r="N950" s="18">
        <f t="shared" si="71"/>
        <v>2.1739130434782608E-2</v>
      </c>
      <c r="O950" s="8">
        <f t="shared" si="72"/>
        <v>238.95333333333335</v>
      </c>
      <c r="P950" s="14">
        <f t="shared" si="73"/>
        <v>-161.62</v>
      </c>
      <c r="Q950" s="16">
        <f t="shared" si="74"/>
        <v>-0.22545545852746701</v>
      </c>
    </row>
    <row r="951" spans="1:17" x14ac:dyDescent="0.2">
      <c r="A951" s="2">
        <v>45742</v>
      </c>
      <c r="B951" s="3" t="s">
        <v>1023</v>
      </c>
      <c r="C951" s="3" t="s">
        <v>110</v>
      </c>
      <c r="D951" s="3" t="s">
        <v>24</v>
      </c>
      <c r="E951" s="3" t="s">
        <v>15</v>
      </c>
      <c r="F951" s="3" t="s">
        <v>50</v>
      </c>
      <c r="G951" s="3" t="s">
        <v>17</v>
      </c>
      <c r="H951" s="3">
        <v>1104</v>
      </c>
      <c r="I951" s="3">
        <v>111</v>
      </c>
      <c r="J951" s="3">
        <v>7</v>
      </c>
      <c r="K951" s="12">
        <v>46.55</v>
      </c>
      <c r="L951" s="9">
        <v>717.16</v>
      </c>
      <c r="M951" s="16">
        <f t="shared" si="70"/>
        <v>0.10054347826086957</v>
      </c>
      <c r="N951" s="18">
        <f t="shared" si="71"/>
        <v>6.3063063063063057E-2</v>
      </c>
      <c r="O951" s="8">
        <f t="shared" si="72"/>
        <v>6.6499999999999995</v>
      </c>
      <c r="P951" s="14">
        <f t="shared" si="73"/>
        <v>670.61</v>
      </c>
      <c r="Q951" s="16">
        <f t="shared" si="74"/>
        <v>14.406229860365199</v>
      </c>
    </row>
    <row r="952" spans="1:17" x14ac:dyDescent="0.2">
      <c r="A952" s="2">
        <v>45742</v>
      </c>
      <c r="B952" s="3" t="s">
        <v>230</v>
      </c>
      <c r="C952" s="3" t="s">
        <v>36</v>
      </c>
      <c r="D952" s="3" t="s">
        <v>37</v>
      </c>
      <c r="E952" s="3" t="s">
        <v>15</v>
      </c>
      <c r="F952" s="3" t="s">
        <v>47</v>
      </c>
      <c r="G952" s="3" t="s">
        <v>21</v>
      </c>
      <c r="H952" s="3">
        <v>3653</v>
      </c>
      <c r="I952" s="3">
        <v>159</v>
      </c>
      <c r="J952" s="3">
        <v>2</v>
      </c>
      <c r="K952" s="12">
        <v>767.66</v>
      </c>
      <c r="L952" s="9">
        <v>354.09</v>
      </c>
      <c r="M952" s="16">
        <f t="shared" si="70"/>
        <v>4.3525869148644952E-2</v>
      </c>
      <c r="N952" s="18">
        <f t="shared" si="71"/>
        <v>1.2578616352201259E-2</v>
      </c>
      <c r="O952" s="8">
        <f t="shared" si="72"/>
        <v>383.83</v>
      </c>
      <c r="P952" s="14">
        <f t="shared" si="73"/>
        <v>-413.57</v>
      </c>
      <c r="Q952" s="16">
        <f t="shared" si="74"/>
        <v>-0.53874110934528308</v>
      </c>
    </row>
    <row r="953" spans="1:17" x14ac:dyDescent="0.2">
      <c r="A953" s="2">
        <v>45743</v>
      </c>
      <c r="B953" s="3" t="s">
        <v>1024</v>
      </c>
      <c r="C953" s="3" t="s">
        <v>45</v>
      </c>
      <c r="D953" s="3" t="s">
        <v>46</v>
      </c>
      <c r="E953" s="3" t="s">
        <v>31</v>
      </c>
      <c r="F953" s="3" t="s">
        <v>34</v>
      </c>
      <c r="G953" s="3" t="s">
        <v>17</v>
      </c>
      <c r="H953" s="3">
        <v>18223</v>
      </c>
      <c r="I953" s="3">
        <v>531</v>
      </c>
      <c r="J953" s="3">
        <v>11</v>
      </c>
      <c r="K953" s="12">
        <v>581.36</v>
      </c>
      <c r="L953" s="9">
        <v>670.81</v>
      </c>
      <c r="M953" s="16">
        <f t="shared" si="70"/>
        <v>2.9139000164627119E-2</v>
      </c>
      <c r="N953" s="18">
        <f t="shared" si="71"/>
        <v>2.0715630885122412E-2</v>
      </c>
      <c r="O953" s="8">
        <f t="shared" si="72"/>
        <v>52.850909090909092</v>
      </c>
      <c r="P953" s="14">
        <f t="shared" si="73"/>
        <v>89.449999999999932</v>
      </c>
      <c r="Q953" s="16">
        <f t="shared" si="74"/>
        <v>0.15386335489197731</v>
      </c>
    </row>
    <row r="954" spans="1:17" x14ac:dyDescent="0.2">
      <c r="A954" s="2">
        <v>45743</v>
      </c>
      <c r="B954" s="3" t="s">
        <v>1025</v>
      </c>
      <c r="C954" s="3" t="s">
        <v>49</v>
      </c>
      <c r="D954" s="3" t="s">
        <v>46</v>
      </c>
      <c r="E954" s="3" t="s">
        <v>20</v>
      </c>
      <c r="F954" s="3" t="s">
        <v>16</v>
      </c>
      <c r="G954" s="3" t="s">
        <v>17</v>
      </c>
      <c r="H954" s="3">
        <v>8072</v>
      </c>
      <c r="I954" s="3">
        <v>171</v>
      </c>
      <c r="J954" s="3">
        <v>2</v>
      </c>
      <c r="K954" s="12">
        <v>260.44</v>
      </c>
      <c r="L954" s="9">
        <v>130.86000000000001</v>
      </c>
      <c r="M954" s="16">
        <f t="shared" si="70"/>
        <v>2.1184340931615461E-2</v>
      </c>
      <c r="N954" s="18">
        <f t="shared" si="71"/>
        <v>1.1695906432748537E-2</v>
      </c>
      <c r="O954" s="8">
        <f t="shared" si="72"/>
        <v>130.22</v>
      </c>
      <c r="P954" s="14">
        <f t="shared" si="73"/>
        <v>-129.57999999999998</v>
      </c>
      <c r="Q954" s="16">
        <f t="shared" si="74"/>
        <v>-0.49754262018123169</v>
      </c>
    </row>
    <row r="955" spans="1:17" x14ac:dyDescent="0.2">
      <c r="A955" s="2">
        <v>45743</v>
      </c>
      <c r="B955" s="3" t="s">
        <v>197</v>
      </c>
      <c r="C955" s="3" t="s">
        <v>54</v>
      </c>
      <c r="D955" s="3" t="s">
        <v>14</v>
      </c>
      <c r="E955" s="3" t="s">
        <v>31</v>
      </c>
      <c r="F955" s="3" t="s">
        <v>16</v>
      </c>
      <c r="G955" s="3" t="s">
        <v>17</v>
      </c>
      <c r="H955" s="3">
        <v>14239</v>
      </c>
      <c r="I955" s="3">
        <v>989</v>
      </c>
      <c r="J955" s="3">
        <v>59</v>
      </c>
      <c r="K955" s="12">
        <v>2405.62</v>
      </c>
      <c r="L955" s="9">
        <v>5503.42</v>
      </c>
      <c r="M955" s="16">
        <f t="shared" si="70"/>
        <v>6.9457124798089756E-2</v>
      </c>
      <c r="N955" s="18">
        <f t="shared" si="71"/>
        <v>5.9656218402426693E-2</v>
      </c>
      <c r="O955" s="8">
        <f t="shared" si="72"/>
        <v>40.773220338983052</v>
      </c>
      <c r="P955" s="14">
        <f t="shared" si="73"/>
        <v>3097.8</v>
      </c>
      <c r="Q955" s="16">
        <f t="shared" si="74"/>
        <v>1.2877345549172357</v>
      </c>
    </row>
    <row r="956" spans="1:17" x14ac:dyDescent="0.2">
      <c r="A956" s="2">
        <v>45743</v>
      </c>
      <c r="B956" s="3" t="s">
        <v>1026</v>
      </c>
      <c r="C956" s="3" t="s">
        <v>71</v>
      </c>
      <c r="D956" s="3" t="s">
        <v>37</v>
      </c>
      <c r="E956" s="3" t="s">
        <v>20</v>
      </c>
      <c r="F956" s="3" t="s">
        <v>47</v>
      </c>
      <c r="G956" s="3" t="s">
        <v>17</v>
      </c>
      <c r="H956" s="3">
        <v>4920</v>
      </c>
      <c r="I956" s="3">
        <v>174</v>
      </c>
      <c r="J956" s="3">
        <v>1</v>
      </c>
      <c r="K956" s="12">
        <v>768.59</v>
      </c>
      <c r="L956" s="9">
        <v>137.68</v>
      </c>
      <c r="M956" s="16">
        <f t="shared" si="70"/>
        <v>3.5365853658536582E-2</v>
      </c>
      <c r="N956" s="18">
        <f t="shared" si="71"/>
        <v>5.7471264367816091E-3</v>
      </c>
      <c r="O956" s="8">
        <f t="shared" si="72"/>
        <v>768.59</v>
      </c>
      <c r="P956" s="14">
        <f t="shared" si="73"/>
        <v>-630.91000000000008</v>
      </c>
      <c r="Q956" s="16">
        <f t="shared" si="74"/>
        <v>-0.82086678202943064</v>
      </c>
    </row>
    <row r="957" spans="1:17" x14ac:dyDescent="0.2">
      <c r="A957" s="2">
        <v>45743</v>
      </c>
      <c r="B957" s="3" t="s">
        <v>371</v>
      </c>
      <c r="C957" s="3" t="s">
        <v>49</v>
      </c>
      <c r="D957" s="3" t="s">
        <v>46</v>
      </c>
      <c r="E957" s="3" t="s">
        <v>31</v>
      </c>
      <c r="F957" s="3" t="s">
        <v>50</v>
      </c>
      <c r="G957" s="3" t="s">
        <v>21</v>
      </c>
      <c r="H957" s="3">
        <v>11457</v>
      </c>
      <c r="I957" s="3">
        <v>445</v>
      </c>
      <c r="J957" s="3">
        <v>24</v>
      </c>
      <c r="K957" s="12">
        <v>513.65</v>
      </c>
      <c r="L957" s="9">
        <v>1354.43</v>
      </c>
      <c r="M957" s="16">
        <f t="shared" si="70"/>
        <v>3.8840883302784325E-2</v>
      </c>
      <c r="N957" s="18">
        <f t="shared" si="71"/>
        <v>5.3932584269662923E-2</v>
      </c>
      <c r="O957" s="8">
        <f t="shared" si="72"/>
        <v>21.402083333333334</v>
      </c>
      <c r="P957" s="14">
        <f t="shared" si="73"/>
        <v>840.78000000000009</v>
      </c>
      <c r="Q957" s="16">
        <f t="shared" si="74"/>
        <v>1.6368733573444956</v>
      </c>
    </row>
    <row r="958" spans="1:17" x14ac:dyDescent="0.2">
      <c r="A958" s="2">
        <v>45743</v>
      </c>
      <c r="B958" s="3" t="s">
        <v>62</v>
      </c>
      <c r="C958" s="3" t="s">
        <v>71</v>
      </c>
      <c r="D958" s="3" t="s">
        <v>37</v>
      </c>
      <c r="E958" s="3" t="s">
        <v>31</v>
      </c>
      <c r="F958" s="3" t="s">
        <v>47</v>
      </c>
      <c r="G958" s="3" t="s">
        <v>17</v>
      </c>
      <c r="H958" s="3">
        <v>3658</v>
      </c>
      <c r="I958" s="3">
        <v>154</v>
      </c>
      <c r="J958" s="3">
        <v>2</v>
      </c>
      <c r="K958" s="12">
        <v>1214.76</v>
      </c>
      <c r="L958" s="9">
        <v>239.45</v>
      </c>
      <c r="M958" s="16">
        <f t="shared" si="70"/>
        <v>4.2099507927829412E-2</v>
      </c>
      <c r="N958" s="18">
        <f t="shared" si="71"/>
        <v>1.2987012987012988E-2</v>
      </c>
      <c r="O958" s="8">
        <f t="shared" si="72"/>
        <v>607.38</v>
      </c>
      <c r="P958" s="14">
        <f t="shared" si="73"/>
        <v>-975.31</v>
      </c>
      <c r="Q958" s="16">
        <f t="shared" si="74"/>
        <v>-0.80288287398333824</v>
      </c>
    </row>
    <row r="959" spans="1:17" x14ac:dyDescent="0.2">
      <c r="A959" s="2">
        <v>45743</v>
      </c>
      <c r="B959" s="3" t="s">
        <v>134</v>
      </c>
      <c r="C959" s="3" t="s">
        <v>49</v>
      </c>
      <c r="D959" s="3" t="s">
        <v>46</v>
      </c>
      <c r="E959" s="3" t="s">
        <v>31</v>
      </c>
      <c r="F959" s="3" t="s">
        <v>29</v>
      </c>
      <c r="G959" s="3" t="s">
        <v>21</v>
      </c>
      <c r="H959" s="3">
        <v>8584</v>
      </c>
      <c r="I959" s="3">
        <v>205</v>
      </c>
      <c r="J959" s="3">
        <v>11</v>
      </c>
      <c r="K959" s="12">
        <v>374.77</v>
      </c>
      <c r="L959" s="9">
        <v>1054.75</v>
      </c>
      <c r="M959" s="16">
        <f t="shared" si="70"/>
        <v>2.3881640260950607E-2</v>
      </c>
      <c r="N959" s="18">
        <f t="shared" si="71"/>
        <v>5.3658536585365853E-2</v>
      </c>
      <c r="O959" s="8">
        <f t="shared" si="72"/>
        <v>34.07</v>
      </c>
      <c r="P959" s="14">
        <f t="shared" si="73"/>
        <v>679.98</v>
      </c>
      <c r="Q959" s="16">
        <f t="shared" si="74"/>
        <v>1.8143928276009287</v>
      </c>
    </row>
    <row r="960" spans="1:17" x14ac:dyDescent="0.2">
      <c r="A960" s="2">
        <v>45743</v>
      </c>
      <c r="B960" s="3" t="s">
        <v>1027</v>
      </c>
      <c r="C960" s="3" t="s">
        <v>74</v>
      </c>
      <c r="D960" s="3" t="s">
        <v>28</v>
      </c>
      <c r="E960" s="3" t="s">
        <v>20</v>
      </c>
      <c r="F960" s="3" t="s">
        <v>47</v>
      </c>
      <c r="G960" s="3" t="s">
        <v>21</v>
      </c>
      <c r="H960" s="3">
        <v>34075</v>
      </c>
      <c r="I960" s="3">
        <v>445</v>
      </c>
      <c r="J960" s="3">
        <v>6</v>
      </c>
      <c r="K960" s="12">
        <v>449.86</v>
      </c>
      <c r="L960" s="9">
        <v>503.72</v>
      </c>
      <c r="M960" s="16">
        <f t="shared" si="70"/>
        <v>1.3059427732942039E-2</v>
      </c>
      <c r="N960" s="18">
        <f t="shared" si="71"/>
        <v>1.3483146067415731E-2</v>
      </c>
      <c r="O960" s="8">
        <f t="shared" si="72"/>
        <v>74.976666666666674</v>
      </c>
      <c r="P960" s="14">
        <f t="shared" si="73"/>
        <v>53.860000000000014</v>
      </c>
      <c r="Q960" s="16">
        <f t="shared" si="74"/>
        <v>0.11972613702040638</v>
      </c>
    </row>
    <row r="961" spans="1:17" x14ac:dyDescent="0.2">
      <c r="A961" s="2">
        <v>45744</v>
      </c>
      <c r="B961" s="3" t="s">
        <v>1028</v>
      </c>
      <c r="C961" s="3" t="s">
        <v>49</v>
      </c>
      <c r="D961" s="3" t="s">
        <v>46</v>
      </c>
      <c r="E961" s="3" t="s">
        <v>20</v>
      </c>
      <c r="F961" s="3" t="s">
        <v>34</v>
      </c>
      <c r="G961" s="3" t="s">
        <v>21</v>
      </c>
      <c r="H961" s="3">
        <v>8426</v>
      </c>
      <c r="I961" s="3">
        <v>220</v>
      </c>
      <c r="J961" s="3">
        <v>7</v>
      </c>
      <c r="K961" s="12">
        <v>259.22000000000003</v>
      </c>
      <c r="L961" s="9">
        <v>676.15</v>
      </c>
      <c r="M961" s="16">
        <f t="shared" si="70"/>
        <v>2.6109660574412531E-2</v>
      </c>
      <c r="N961" s="18">
        <f t="shared" si="71"/>
        <v>3.1818181818181815E-2</v>
      </c>
      <c r="O961" s="8">
        <f t="shared" si="72"/>
        <v>37.031428571428577</v>
      </c>
      <c r="P961" s="14">
        <f t="shared" si="73"/>
        <v>416.92999999999995</v>
      </c>
      <c r="Q961" s="16">
        <f t="shared" si="74"/>
        <v>1.6084021294653186</v>
      </c>
    </row>
    <row r="962" spans="1:17" x14ac:dyDescent="0.2">
      <c r="A962" s="2">
        <v>45744</v>
      </c>
      <c r="B962" s="3" t="s">
        <v>75</v>
      </c>
      <c r="C962" s="3" t="s">
        <v>19</v>
      </c>
      <c r="D962" s="3" t="s">
        <v>14</v>
      </c>
      <c r="E962" s="3" t="s">
        <v>20</v>
      </c>
      <c r="F962" s="3" t="s">
        <v>29</v>
      </c>
      <c r="G962" s="3" t="s">
        <v>17</v>
      </c>
      <c r="H962" s="3">
        <v>14249</v>
      </c>
      <c r="I962" s="3">
        <v>501</v>
      </c>
      <c r="J962" s="3">
        <v>16</v>
      </c>
      <c r="K962" s="12">
        <v>839.83</v>
      </c>
      <c r="L962" s="9">
        <v>1362.35</v>
      </c>
      <c r="M962" s="16">
        <f t="shared" si="70"/>
        <v>3.5160362130675839E-2</v>
      </c>
      <c r="N962" s="18">
        <f t="shared" si="71"/>
        <v>3.1936127744510975E-2</v>
      </c>
      <c r="O962" s="8">
        <f t="shared" si="72"/>
        <v>52.489375000000003</v>
      </c>
      <c r="P962" s="14">
        <f t="shared" si="73"/>
        <v>522.51999999999987</v>
      </c>
      <c r="Q962" s="16">
        <f t="shared" si="74"/>
        <v>0.62217353512020268</v>
      </c>
    </row>
    <row r="963" spans="1:17" x14ac:dyDescent="0.2">
      <c r="A963" s="2">
        <v>45744</v>
      </c>
      <c r="B963" s="3" t="s">
        <v>1029</v>
      </c>
      <c r="C963" s="3" t="s">
        <v>110</v>
      </c>
      <c r="D963" s="3" t="s">
        <v>24</v>
      </c>
      <c r="E963" s="3" t="s">
        <v>20</v>
      </c>
      <c r="F963" s="3" t="s">
        <v>34</v>
      </c>
      <c r="G963" s="3" t="s">
        <v>17</v>
      </c>
      <c r="H963" s="3">
        <v>4274</v>
      </c>
      <c r="I963" s="3">
        <v>445</v>
      </c>
      <c r="J963" s="3">
        <v>36</v>
      </c>
      <c r="K963" s="12">
        <v>169.36</v>
      </c>
      <c r="L963" s="9">
        <v>4992.18</v>
      </c>
      <c r="M963" s="16">
        <f t="shared" ref="M963:M1001" si="75">IFERROR(I963/H963,0)</f>
        <v>0.10411792232101076</v>
      </c>
      <c r="N963" s="18">
        <f t="shared" ref="N963:N1001" si="76">IFERROR(J963/I963,0)</f>
        <v>8.0898876404494377E-2</v>
      </c>
      <c r="O963" s="8">
        <f t="shared" ref="O963:O1001" si="77">IFERROR(K963/J963,0)</f>
        <v>4.7044444444444444</v>
      </c>
      <c r="P963" s="14">
        <f t="shared" ref="P963:P1026" si="78">L963-K963</f>
        <v>4822.8200000000006</v>
      </c>
      <c r="Q963" s="16">
        <f t="shared" ref="Q963:Q1001" si="79">IFERROR((L963-K963)/K963,0)</f>
        <v>28.476735947094948</v>
      </c>
    </row>
    <row r="964" spans="1:17" x14ac:dyDescent="0.2">
      <c r="A964" s="2">
        <v>45744</v>
      </c>
      <c r="B964" s="3" t="s">
        <v>1030</v>
      </c>
      <c r="C964" s="3" t="s">
        <v>97</v>
      </c>
      <c r="D964" s="3" t="s">
        <v>46</v>
      </c>
      <c r="E964" s="3" t="s">
        <v>20</v>
      </c>
      <c r="F964" s="3" t="s">
        <v>29</v>
      </c>
      <c r="G964" s="3" t="s">
        <v>17</v>
      </c>
      <c r="H964" s="3">
        <v>13654</v>
      </c>
      <c r="I964" s="3">
        <v>435</v>
      </c>
      <c r="J964" s="3">
        <v>7</v>
      </c>
      <c r="K964" s="12">
        <v>753.21</v>
      </c>
      <c r="L964" s="9">
        <v>408.32</v>
      </c>
      <c r="M964" s="16">
        <f t="shared" si="75"/>
        <v>3.1858795957228653E-2</v>
      </c>
      <c r="N964" s="18">
        <f t="shared" si="76"/>
        <v>1.6091954022988506E-2</v>
      </c>
      <c r="O964" s="8">
        <f t="shared" si="77"/>
        <v>107.60142857142857</v>
      </c>
      <c r="P964" s="14">
        <f t="shared" si="78"/>
        <v>-344.89000000000004</v>
      </c>
      <c r="Q964" s="16">
        <f t="shared" si="79"/>
        <v>-0.4578935489438537</v>
      </c>
    </row>
    <row r="965" spans="1:17" x14ac:dyDescent="0.2">
      <c r="A965" s="2">
        <v>45744</v>
      </c>
      <c r="B965" s="3" t="s">
        <v>281</v>
      </c>
      <c r="C965" s="3" t="s">
        <v>43</v>
      </c>
      <c r="D965" s="3" t="s">
        <v>37</v>
      </c>
      <c r="E965" s="3" t="s">
        <v>31</v>
      </c>
      <c r="F965" s="3" t="s">
        <v>16</v>
      </c>
      <c r="G965" s="3" t="s">
        <v>17</v>
      </c>
      <c r="H965" s="3">
        <v>6566</v>
      </c>
      <c r="I965" s="3">
        <v>232</v>
      </c>
      <c r="J965" s="3">
        <v>6</v>
      </c>
      <c r="K965" s="12">
        <v>1014.72</v>
      </c>
      <c r="L965" s="9">
        <v>1131</v>
      </c>
      <c r="M965" s="16">
        <f t="shared" si="75"/>
        <v>3.5333536399634484E-2</v>
      </c>
      <c r="N965" s="18">
        <f t="shared" si="76"/>
        <v>2.5862068965517241E-2</v>
      </c>
      <c r="O965" s="8">
        <f t="shared" si="77"/>
        <v>169.12</v>
      </c>
      <c r="P965" s="14">
        <f t="shared" si="78"/>
        <v>116.27999999999997</v>
      </c>
      <c r="Q965" s="16">
        <f t="shared" si="79"/>
        <v>0.11459318826868493</v>
      </c>
    </row>
    <row r="966" spans="1:17" x14ac:dyDescent="0.2">
      <c r="A966" s="2">
        <v>45744</v>
      </c>
      <c r="B966" s="3" t="s">
        <v>1031</v>
      </c>
      <c r="C966" s="3" t="s">
        <v>156</v>
      </c>
      <c r="D966" s="3" t="s">
        <v>46</v>
      </c>
      <c r="E966" s="3" t="s">
        <v>31</v>
      </c>
      <c r="F966" s="3" t="s">
        <v>50</v>
      </c>
      <c r="G966" s="3" t="s">
        <v>17</v>
      </c>
      <c r="H966" s="3">
        <v>17281</v>
      </c>
      <c r="I966" s="3">
        <v>848</v>
      </c>
      <c r="J966" s="3">
        <v>27</v>
      </c>
      <c r="K966" s="12">
        <v>1511.37</v>
      </c>
      <c r="L966" s="9">
        <v>1749.71</v>
      </c>
      <c r="M966" s="16">
        <f t="shared" si="75"/>
        <v>4.9071234303570396E-2</v>
      </c>
      <c r="N966" s="18">
        <f t="shared" si="76"/>
        <v>3.1839622641509434E-2</v>
      </c>
      <c r="O966" s="8">
        <f t="shared" si="77"/>
        <v>55.976666666666659</v>
      </c>
      <c r="P966" s="14">
        <f t="shared" si="78"/>
        <v>238.34000000000015</v>
      </c>
      <c r="Q966" s="16">
        <f t="shared" si="79"/>
        <v>0.15769798262503568</v>
      </c>
    </row>
    <row r="967" spans="1:17" x14ac:dyDescent="0.2">
      <c r="A967" s="2">
        <v>45744</v>
      </c>
      <c r="B967" s="3" t="s">
        <v>299</v>
      </c>
      <c r="C967" s="3" t="s">
        <v>33</v>
      </c>
      <c r="D967" s="3" t="s">
        <v>28</v>
      </c>
      <c r="E967" s="3" t="s">
        <v>31</v>
      </c>
      <c r="F967" s="3" t="s">
        <v>34</v>
      </c>
      <c r="G967" s="3" t="s">
        <v>17</v>
      </c>
      <c r="H967" s="3">
        <v>28216</v>
      </c>
      <c r="I967" s="3">
        <v>890</v>
      </c>
      <c r="J967" s="3">
        <v>11</v>
      </c>
      <c r="K967" s="12">
        <v>961.43</v>
      </c>
      <c r="L967" s="9">
        <v>887.82</v>
      </c>
      <c r="M967" s="16">
        <f t="shared" si="75"/>
        <v>3.154238729798696E-2</v>
      </c>
      <c r="N967" s="18">
        <f t="shared" si="76"/>
        <v>1.2359550561797753E-2</v>
      </c>
      <c r="O967" s="8">
        <f t="shared" si="77"/>
        <v>87.402727272727262</v>
      </c>
      <c r="P967" s="14">
        <f t="shared" si="78"/>
        <v>-73.6099999999999</v>
      </c>
      <c r="Q967" s="16">
        <f t="shared" si="79"/>
        <v>-7.6563036310495727E-2</v>
      </c>
    </row>
    <row r="968" spans="1:17" x14ac:dyDescent="0.2">
      <c r="A968" s="2">
        <v>45744</v>
      </c>
      <c r="B968" s="3" t="s">
        <v>1032</v>
      </c>
      <c r="C968" s="3" t="s">
        <v>41</v>
      </c>
      <c r="D968" s="3" t="s">
        <v>24</v>
      </c>
      <c r="E968" s="3" t="s">
        <v>20</v>
      </c>
      <c r="F968" s="3" t="s">
        <v>47</v>
      </c>
      <c r="G968" s="3" t="s">
        <v>17</v>
      </c>
      <c r="H968" s="3">
        <v>4727</v>
      </c>
      <c r="I968" s="3">
        <v>626</v>
      </c>
      <c r="J968" s="3">
        <v>75</v>
      </c>
      <c r="K968" s="12">
        <v>142.62</v>
      </c>
      <c r="L968" s="9">
        <v>9597.91</v>
      </c>
      <c r="M968" s="16">
        <f t="shared" si="75"/>
        <v>0.13243071715675905</v>
      </c>
      <c r="N968" s="18">
        <f t="shared" si="76"/>
        <v>0.11980830670926518</v>
      </c>
      <c r="O968" s="8">
        <f t="shared" si="77"/>
        <v>1.9016</v>
      </c>
      <c r="P968" s="14">
        <f t="shared" si="78"/>
        <v>9455.2899999999991</v>
      </c>
      <c r="Q968" s="16">
        <f t="shared" si="79"/>
        <v>66.297083158042341</v>
      </c>
    </row>
    <row r="969" spans="1:17" x14ac:dyDescent="0.2">
      <c r="A969" s="2">
        <v>45744</v>
      </c>
      <c r="B969" s="3" t="s">
        <v>1033</v>
      </c>
      <c r="C969" s="3" t="s">
        <v>120</v>
      </c>
      <c r="D969" s="3" t="s">
        <v>14</v>
      </c>
      <c r="E969" s="3" t="s">
        <v>20</v>
      </c>
      <c r="F969" s="3" t="s">
        <v>29</v>
      </c>
      <c r="G969" s="3" t="s">
        <v>21</v>
      </c>
      <c r="H969" s="3">
        <v>8180</v>
      </c>
      <c r="I969" s="3">
        <v>330</v>
      </c>
      <c r="J969" s="3">
        <v>16</v>
      </c>
      <c r="K969" s="12">
        <v>671.98</v>
      </c>
      <c r="L969" s="9">
        <v>2012.48</v>
      </c>
      <c r="M969" s="16">
        <f t="shared" si="75"/>
        <v>4.0342298288508556E-2</v>
      </c>
      <c r="N969" s="18">
        <f t="shared" si="76"/>
        <v>4.8484848484848485E-2</v>
      </c>
      <c r="O969" s="8">
        <f t="shared" si="77"/>
        <v>41.998750000000001</v>
      </c>
      <c r="P969" s="14">
        <f t="shared" si="78"/>
        <v>1340.5</v>
      </c>
      <c r="Q969" s="16">
        <f t="shared" si="79"/>
        <v>1.9948510372332509</v>
      </c>
    </row>
    <row r="970" spans="1:17" x14ac:dyDescent="0.2">
      <c r="A970" s="2">
        <v>45744</v>
      </c>
      <c r="B970" s="3" t="s">
        <v>349</v>
      </c>
      <c r="C970" s="3" t="s">
        <v>58</v>
      </c>
      <c r="D970" s="3" t="s">
        <v>37</v>
      </c>
      <c r="E970" s="3" t="s">
        <v>31</v>
      </c>
      <c r="F970" s="3" t="s">
        <v>29</v>
      </c>
      <c r="G970" s="3" t="s">
        <v>21</v>
      </c>
      <c r="H970" s="3">
        <v>3283</v>
      </c>
      <c r="I970" s="3">
        <v>165</v>
      </c>
      <c r="J970" s="3">
        <v>7</v>
      </c>
      <c r="K970" s="12">
        <v>738.71</v>
      </c>
      <c r="L970" s="9">
        <v>1178.05</v>
      </c>
      <c r="M970" s="16">
        <f t="shared" si="75"/>
        <v>5.0258909533962837E-2</v>
      </c>
      <c r="N970" s="18">
        <f t="shared" si="76"/>
        <v>4.2424242424242427E-2</v>
      </c>
      <c r="O970" s="8">
        <f t="shared" si="77"/>
        <v>105.53</v>
      </c>
      <c r="P970" s="14">
        <f t="shared" si="78"/>
        <v>439.33999999999992</v>
      </c>
      <c r="Q970" s="16">
        <f t="shared" si="79"/>
        <v>0.59473947827970364</v>
      </c>
    </row>
    <row r="971" spans="1:17" x14ac:dyDescent="0.2">
      <c r="A971" s="2">
        <v>45745</v>
      </c>
      <c r="B971" s="3" t="s">
        <v>309</v>
      </c>
      <c r="C971" s="3" t="s">
        <v>74</v>
      </c>
      <c r="D971" s="3" t="s">
        <v>28</v>
      </c>
      <c r="E971" s="3" t="s">
        <v>31</v>
      </c>
      <c r="F971" s="3" t="s">
        <v>47</v>
      </c>
      <c r="G971" s="3" t="s">
        <v>17</v>
      </c>
      <c r="H971" s="3">
        <v>22909</v>
      </c>
      <c r="I971" s="3">
        <v>398</v>
      </c>
      <c r="J971" s="3">
        <v>7</v>
      </c>
      <c r="K971" s="12">
        <v>347.05</v>
      </c>
      <c r="L971" s="9">
        <v>465.03</v>
      </c>
      <c r="M971" s="16">
        <f t="shared" si="75"/>
        <v>1.7373084813828626E-2</v>
      </c>
      <c r="N971" s="18">
        <f t="shared" si="76"/>
        <v>1.7587939698492462E-2</v>
      </c>
      <c r="O971" s="8">
        <f t="shared" si="77"/>
        <v>49.578571428571429</v>
      </c>
      <c r="P971" s="14">
        <f t="shared" si="78"/>
        <v>117.97999999999996</v>
      </c>
      <c r="Q971" s="16">
        <f t="shared" si="79"/>
        <v>0.33995101570378894</v>
      </c>
    </row>
    <row r="972" spans="1:17" x14ac:dyDescent="0.2">
      <c r="A972" s="2">
        <v>45745</v>
      </c>
      <c r="B972" s="3" t="s">
        <v>376</v>
      </c>
      <c r="C972" s="3" t="s">
        <v>39</v>
      </c>
      <c r="D972" s="3" t="s">
        <v>28</v>
      </c>
      <c r="E972" s="3" t="s">
        <v>20</v>
      </c>
      <c r="F972" s="3" t="s">
        <v>16</v>
      </c>
      <c r="G972" s="3" t="s">
        <v>17</v>
      </c>
      <c r="H972" s="3">
        <v>36192</v>
      </c>
      <c r="I972" s="3">
        <v>626</v>
      </c>
      <c r="J972" s="3">
        <v>4</v>
      </c>
      <c r="K972" s="12">
        <v>768.03</v>
      </c>
      <c r="L972" s="9">
        <v>317.95</v>
      </c>
      <c r="M972" s="16">
        <f t="shared" si="75"/>
        <v>1.7296640141467728E-2</v>
      </c>
      <c r="N972" s="18">
        <f t="shared" si="76"/>
        <v>6.3897763578274758E-3</v>
      </c>
      <c r="O972" s="8">
        <f t="shared" si="77"/>
        <v>192.00749999999999</v>
      </c>
      <c r="P972" s="14">
        <f t="shared" si="78"/>
        <v>-450.08</v>
      </c>
      <c r="Q972" s="16">
        <f t="shared" si="79"/>
        <v>-0.58601877530825619</v>
      </c>
    </row>
    <row r="973" spans="1:17" x14ac:dyDescent="0.2">
      <c r="A973" s="2">
        <v>45745</v>
      </c>
      <c r="B973" s="3" t="s">
        <v>1034</v>
      </c>
      <c r="C973" s="3" t="s">
        <v>33</v>
      </c>
      <c r="D973" s="3" t="s">
        <v>28</v>
      </c>
      <c r="E973" s="3" t="s">
        <v>15</v>
      </c>
      <c r="F973" s="3" t="s">
        <v>29</v>
      </c>
      <c r="G973" s="3" t="s">
        <v>17</v>
      </c>
      <c r="H973" s="3">
        <v>28751</v>
      </c>
      <c r="I973" s="3">
        <v>418</v>
      </c>
      <c r="J973" s="3">
        <v>2</v>
      </c>
      <c r="K973" s="12">
        <v>492.99</v>
      </c>
      <c r="L973" s="9">
        <v>31.58</v>
      </c>
      <c r="M973" s="16">
        <f t="shared" si="75"/>
        <v>1.4538624743487183E-2</v>
      </c>
      <c r="N973" s="18">
        <f t="shared" si="76"/>
        <v>4.7846889952153108E-3</v>
      </c>
      <c r="O973" s="8">
        <f t="shared" si="77"/>
        <v>246.495</v>
      </c>
      <c r="P973" s="14">
        <f t="shared" si="78"/>
        <v>-461.41</v>
      </c>
      <c r="Q973" s="16">
        <f t="shared" si="79"/>
        <v>-0.93594190551532486</v>
      </c>
    </row>
    <row r="974" spans="1:17" x14ac:dyDescent="0.2">
      <c r="A974" s="2">
        <v>45745</v>
      </c>
      <c r="B974" s="3" t="s">
        <v>274</v>
      </c>
      <c r="C974" s="3" t="s">
        <v>49</v>
      </c>
      <c r="D974" s="3" t="s">
        <v>46</v>
      </c>
      <c r="E974" s="3" t="s">
        <v>31</v>
      </c>
      <c r="F974" s="3" t="s">
        <v>34</v>
      </c>
      <c r="G974" s="3" t="s">
        <v>21</v>
      </c>
      <c r="H974" s="3">
        <v>9173</v>
      </c>
      <c r="I974" s="3">
        <v>242</v>
      </c>
      <c r="J974" s="3">
        <v>10</v>
      </c>
      <c r="K974" s="12">
        <v>296.44</v>
      </c>
      <c r="L974" s="9">
        <v>990.08</v>
      </c>
      <c r="M974" s="16">
        <f t="shared" si="75"/>
        <v>2.6381772593480866E-2</v>
      </c>
      <c r="N974" s="18">
        <f t="shared" si="76"/>
        <v>4.1322314049586778E-2</v>
      </c>
      <c r="O974" s="8">
        <f t="shared" si="77"/>
        <v>29.643999999999998</v>
      </c>
      <c r="P974" s="14">
        <f t="shared" si="78"/>
        <v>693.6400000000001</v>
      </c>
      <c r="Q974" s="16">
        <f t="shared" si="79"/>
        <v>2.3399001484280126</v>
      </c>
    </row>
    <row r="975" spans="1:17" x14ac:dyDescent="0.2">
      <c r="A975" s="2">
        <v>45745</v>
      </c>
      <c r="B975" s="3" t="s">
        <v>225</v>
      </c>
      <c r="C975" s="3" t="s">
        <v>49</v>
      </c>
      <c r="D975" s="3" t="s">
        <v>46</v>
      </c>
      <c r="E975" s="3" t="s">
        <v>31</v>
      </c>
      <c r="F975" s="3" t="s">
        <v>47</v>
      </c>
      <c r="G975" s="3" t="s">
        <v>17</v>
      </c>
      <c r="H975" s="3">
        <v>14815</v>
      </c>
      <c r="I975" s="3">
        <v>547</v>
      </c>
      <c r="J975" s="3">
        <v>18</v>
      </c>
      <c r="K975" s="12">
        <v>765.56</v>
      </c>
      <c r="L975" s="9">
        <v>1302.77</v>
      </c>
      <c r="M975" s="16">
        <f t="shared" si="75"/>
        <v>3.6922038474519067E-2</v>
      </c>
      <c r="N975" s="18">
        <f t="shared" si="76"/>
        <v>3.2906764168190127E-2</v>
      </c>
      <c r="O975" s="8">
        <f t="shared" si="77"/>
        <v>42.531111111111109</v>
      </c>
      <c r="P975" s="14">
        <f t="shared" si="78"/>
        <v>537.21</v>
      </c>
      <c r="Q975" s="16">
        <f t="shared" si="79"/>
        <v>0.70172161554940182</v>
      </c>
    </row>
    <row r="976" spans="1:17" x14ac:dyDescent="0.2">
      <c r="A976" s="2">
        <v>45745</v>
      </c>
      <c r="B976" s="3" t="s">
        <v>162</v>
      </c>
      <c r="C976" s="3" t="s">
        <v>58</v>
      </c>
      <c r="D976" s="3" t="s">
        <v>37</v>
      </c>
      <c r="E976" s="3" t="s">
        <v>20</v>
      </c>
      <c r="F976" s="3" t="s">
        <v>29</v>
      </c>
      <c r="G976" s="3" t="s">
        <v>25</v>
      </c>
      <c r="H976" s="3">
        <v>6182</v>
      </c>
      <c r="I976" s="3">
        <v>145</v>
      </c>
      <c r="J976" s="3">
        <v>2</v>
      </c>
      <c r="K976" s="12">
        <v>712.58</v>
      </c>
      <c r="L976" s="9">
        <v>322.14999999999998</v>
      </c>
      <c r="M976" s="16">
        <f t="shared" si="75"/>
        <v>2.3455192494338403E-2</v>
      </c>
      <c r="N976" s="18">
        <f t="shared" si="76"/>
        <v>1.3793103448275862E-2</v>
      </c>
      <c r="O976" s="8">
        <f t="shared" si="77"/>
        <v>356.29</v>
      </c>
      <c r="P976" s="14">
        <f t="shared" si="78"/>
        <v>-390.43000000000006</v>
      </c>
      <c r="Q976" s="16">
        <f t="shared" si="79"/>
        <v>-0.54791041005922148</v>
      </c>
    </row>
    <row r="977" spans="1:17" x14ac:dyDescent="0.2">
      <c r="A977" s="2">
        <v>45745</v>
      </c>
      <c r="B977" s="3" t="s">
        <v>491</v>
      </c>
      <c r="C977" s="3" t="s">
        <v>52</v>
      </c>
      <c r="D977" s="3" t="s">
        <v>24</v>
      </c>
      <c r="E977" s="3" t="s">
        <v>20</v>
      </c>
      <c r="F977" s="3" t="s">
        <v>50</v>
      </c>
      <c r="G977" s="3" t="s">
        <v>17</v>
      </c>
      <c r="H977" s="3">
        <v>4163</v>
      </c>
      <c r="I977" s="3">
        <v>563</v>
      </c>
      <c r="J977" s="3">
        <v>70</v>
      </c>
      <c r="K977" s="12">
        <v>121.68</v>
      </c>
      <c r="L977" s="9">
        <v>6974.88</v>
      </c>
      <c r="M977" s="16">
        <f t="shared" si="75"/>
        <v>0.13523901032908961</v>
      </c>
      <c r="N977" s="18">
        <f t="shared" si="76"/>
        <v>0.12433392539964476</v>
      </c>
      <c r="O977" s="8">
        <f t="shared" si="77"/>
        <v>1.7382857142857144</v>
      </c>
      <c r="P977" s="14">
        <f t="shared" si="78"/>
        <v>6853.2</v>
      </c>
      <c r="Q977" s="16">
        <f t="shared" si="79"/>
        <v>56.321499013806701</v>
      </c>
    </row>
    <row r="978" spans="1:17" x14ac:dyDescent="0.2">
      <c r="A978" s="2">
        <v>45745</v>
      </c>
      <c r="B978" s="3" t="s">
        <v>279</v>
      </c>
      <c r="C978" s="3" t="s">
        <v>23</v>
      </c>
      <c r="D978" s="3" t="s">
        <v>24</v>
      </c>
      <c r="E978" s="3" t="s">
        <v>20</v>
      </c>
      <c r="F978" s="3" t="s">
        <v>29</v>
      </c>
      <c r="G978" s="3" t="s">
        <v>25</v>
      </c>
      <c r="H978" s="3">
        <v>2765</v>
      </c>
      <c r="I978" s="3">
        <v>389</v>
      </c>
      <c r="J978" s="3">
        <v>58</v>
      </c>
      <c r="K978" s="12">
        <v>161.94</v>
      </c>
      <c r="L978" s="9">
        <v>5808.69</v>
      </c>
      <c r="M978" s="16">
        <f t="shared" si="75"/>
        <v>0.14068716094032549</v>
      </c>
      <c r="N978" s="18">
        <f t="shared" si="76"/>
        <v>0.14910025706940874</v>
      </c>
      <c r="O978" s="8">
        <f t="shared" si="77"/>
        <v>2.7920689655172413</v>
      </c>
      <c r="P978" s="14">
        <f t="shared" si="78"/>
        <v>5646.75</v>
      </c>
      <c r="Q978" s="16">
        <f t="shared" si="79"/>
        <v>34.869396072619487</v>
      </c>
    </row>
    <row r="979" spans="1:17" x14ac:dyDescent="0.2">
      <c r="A979" s="2">
        <v>45745</v>
      </c>
      <c r="B979" s="3" t="s">
        <v>1035</v>
      </c>
      <c r="C979" s="3" t="s">
        <v>54</v>
      </c>
      <c r="D979" s="3" t="s">
        <v>14</v>
      </c>
      <c r="E979" s="3" t="s">
        <v>20</v>
      </c>
      <c r="F979" s="3" t="s">
        <v>29</v>
      </c>
      <c r="G979" s="3" t="s">
        <v>17</v>
      </c>
      <c r="H979" s="3">
        <v>10283</v>
      </c>
      <c r="I979" s="3">
        <v>575</v>
      </c>
      <c r="J979" s="3">
        <v>11</v>
      </c>
      <c r="K979" s="12">
        <v>891.14</v>
      </c>
      <c r="L979" s="9">
        <v>1231.67</v>
      </c>
      <c r="M979" s="16">
        <f t="shared" si="75"/>
        <v>5.5917533793639985E-2</v>
      </c>
      <c r="N979" s="18">
        <f t="shared" si="76"/>
        <v>1.9130434782608695E-2</v>
      </c>
      <c r="O979" s="8">
        <f t="shared" si="77"/>
        <v>81.012727272727275</v>
      </c>
      <c r="P979" s="14">
        <f t="shared" si="78"/>
        <v>340.53000000000009</v>
      </c>
      <c r="Q979" s="16">
        <f t="shared" si="79"/>
        <v>0.38212850954956584</v>
      </c>
    </row>
    <row r="980" spans="1:17" x14ac:dyDescent="0.2">
      <c r="A980" s="2">
        <v>45746</v>
      </c>
      <c r="B980" s="3" t="s">
        <v>1036</v>
      </c>
      <c r="C980" s="3" t="s">
        <v>49</v>
      </c>
      <c r="D980" s="3" t="s">
        <v>46</v>
      </c>
      <c r="E980" s="3" t="s">
        <v>31</v>
      </c>
      <c r="F980" s="3" t="s">
        <v>47</v>
      </c>
      <c r="G980" s="3" t="s">
        <v>17</v>
      </c>
      <c r="H980" s="3">
        <v>16961</v>
      </c>
      <c r="I980" s="3">
        <v>552</v>
      </c>
      <c r="J980" s="3">
        <v>21</v>
      </c>
      <c r="K980" s="12">
        <v>703.23</v>
      </c>
      <c r="L980" s="9">
        <v>1917.07</v>
      </c>
      <c r="M980" s="16">
        <f t="shared" si="75"/>
        <v>3.254525086964212E-2</v>
      </c>
      <c r="N980" s="18">
        <f t="shared" si="76"/>
        <v>3.8043478260869568E-2</v>
      </c>
      <c r="O980" s="8">
        <f t="shared" si="77"/>
        <v>33.487142857142857</v>
      </c>
      <c r="P980" s="14">
        <f t="shared" si="78"/>
        <v>1213.8399999999999</v>
      </c>
      <c r="Q980" s="16">
        <f t="shared" si="79"/>
        <v>1.726092459081666</v>
      </c>
    </row>
    <row r="981" spans="1:17" x14ac:dyDescent="0.2">
      <c r="A981" s="2">
        <v>45746</v>
      </c>
      <c r="B981" s="3" t="s">
        <v>1037</v>
      </c>
      <c r="C981" s="3" t="s">
        <v>120</v>
      </c>
      <c r="D981" s="3" t="s">
        <v>14</v>
      </c>
      <c r="E981" s="3" t="s">
        <v>20</v>
      </c>
      <c r="F981" s="3" t="s">
        <v>29</v>
      </c>
      <c r="G981" s="3" t="s">
        <v>21</v>
      </c>
      <c r="H981" s="3">
        <v>10835</v>
      </c>
      <c r="I981" s="3">
        <v>682</v>
      </c>
      <c r="J981" s="3">
        <v>28</v>
      </c>
      <c r="K981" s="12">
        <v>1557.97</v>
      </c>
      <c r="L981" s="9">
        <v>2845.97</v>
      </c>
      <c r="M981" s="16">
        <f t="shared" si="75"/>
        <v>6.2944162436548226E-2</v>
      </c>
      <c r="N981" s="18">
        <f t="shared" si="76"/>
        <v>4.1055718475073312E-2</v>
      </c>
      <c r="O981" s="8">
        <f t="shared" si="77"/>
        <v>55.641785714285717</v>
      </c>
      <c r="P981" s="14">
        <f t="shared" si="78"/>
        <v>1287.9999999999998</v>
      </c>
      <c r="Q981" s="16">
        <f t="shared" si="79"/>
        <v>0.82671681739699721</v>
      </c>
    </row>
    <row r="982" spans="1:17" x14ac:dyDescent="0.2">
      <c r="A982" s="2">
        <v>45746</v>
      </c>
      <c r="B982" s="3" t="s">
        <v>493</v>
      </c>
      <c r="C982" s="3" t="s">
        <v>71</v>
      </c>
      <c r="D982" s="3" t="s">
        <v>37</v>
      </c>
      <c r="E982" s="3" t="s">
        <v>15</v>
      </c>
      <c r="F982" s="3" t="s">
        <v>50</v>
      </c>
      <c r="G982" s="3" t="s">
        <v>17</v>
      </c>
      <c r="H982" s="3">
        <v>5386</v>
      </c>
      <c r="I982" s="3">
        <v>130</v>
      </c>
      <c r="J982" s="3">
        <v>1</v>
      </c>
      <c r="K982" s="12">
        <v>613</v>
      </c>
      <c r="L982" s="9">
        <v>14.32</v>
      </c>
      <c r="M982" s="16">
        <f t="shared" si="75"/>
        <v>2.4136650575566285E-2</v>
      </c>
      <c r="N982" s="18">
        <f t="shared" si="76"/>
        <v>7.6923076923076927E-3</v>
      </c>
      <c r="O982" s="8">
        <f t="shared" si="77"/>
        <v>613</v>
      </c>
      <c r="P982" s="14">
        <f t="shared" si="78"/>
        <v>-598.67999999999995</v>
      </c>
      <c r="Q982" s="16">
        <f t="shared" si="79"/>
        <v>-0.97663947797716144</v>
      </c>
    </row>
    <row r="983" spans="1:17" x14ac:dyDescent="0.2">
      <c r="A983" s="2">
        <v>45746</v>
      </c>
      <c r="B983" s="3" t="s">
        <v>189</v>
      </c>
      <c r="C983" s="3" t="s">
        <v>36</v>
      </c>
      <c r="D983" s="3" t="s">
        <v>37</v>
      </c>
      <c r="E983" s="3" t="s">
        <v>20</v>
      </c>
      <c r="F983" s="3" t="s">
        <v>34</v>
      </c>
      <c r="G983" s="3" t="s">
        <v>17</v>
      </c>
      <c r="H983" s="3">
        <v>4248</v>
      </c>
      <c r="I983" s="3">
        <v>219</v>
      </c>
      <c r="J983" s="3">
        <v>4</v>
      </c>
      <c r="K983" s="12">
        <v>1620.74</v>
      </c>
      <c r="L983" s="9">
        <v>546.53</v>
      </c>
      <c r="M983" s="16">
        <f t="shared" si="75"/>
        <v>5.1553672316384178E-2</v>
      </c>
      <c r="N983" s="18">
        <f t="shared" si="76"/>
        <v>1.8264840182648401E-2</v>
      </c>
      <c r="O983" s="8">
        <f t="shared" si="77"/>
        <v>405.185</v>
      </c>
      <c r="P983" s="14">
        <f t="shared" si="78"/>
        <v>-1074.21</v>
      </c>
      <c r="Q983" s="16">
        <f t="shared" si="79"/>
        <v>-0.6627898367412417</v>
      </c>
    </row>
    <row r="984" spans="1:17" x14ac:dyDescent="0.2">
      <c r="A984" s="2">
        <v>45746</v>
      </c>
      <c r="B984" s="3" t="s">
        <v>545</v>
      </c>
      <c r="C984" s="3" t="s">
        <v>43</v>
      </c>
      <c r="D984" s="3" t="s">
        <v>37</v>
      </c>
      <c r="E984" s="3" t="s">
        <v>15</v>
      </c>
      <c r="F984" s="3" t="s">
        <v>47</v>
      </c>
      <c r="G984" s="3" t="s">
        <v>17</v>
      </c>
      <c r="H984" s="3">
        <v>3100</v>
      </c>
      <c r="I984" s="3">
        <v>142</v>
      </c>
      <c r="J984" s="3">
        <v>0</v>
      </c>
      <c r="K984" s="12">
        <v>708.25</v>
      </c>
      <c r="L984" s="9">
        <v>0</v>
      </c>
      <c r="M984" s="16">
        <f t="shared" si="75"/>
        <v>4.5806451612903226E-2</v>
      </c>
      <c r="N984" s="18">
        <f t="shared" si="76"/>
        <v>0</v>
      </c>
      <c r="O984" s="8">
        <f t="shared" si="77"/>
        <v>0</v>
      </c>
      <c r="P984" s="14">
        <f t="shared" si="78"/>
        <v>-708.25</v>
      </c>
      <c r="Q984" s="16">
        <f t="shared" si="79"/>
        <v>-1</v>
      </c>
    </row>
    <row r="985" spans="1:17" x14ac:dyDescent="0.2">
      <c r="A985" s="2">
        <v>45746</v>
      </c>
      <c r="B985" s="3" t="s">
        <v>390</v>
      </c>
      <c r="C985" s="3" t="s">
        <v>36</v>
      </c>
      <c r="D985" s="3" t="s">
        <v>37</v>
      </c>
      <c r="E985" s="3" t="s">
        <v>31</v>
      </c>
      <c r="F985" s="3" t="s">
        <v>16</v>
      </c>
      <c r="G985" s="3" t="s">
        <v>17</v>
      </c>
      <c r="H985" s="3">
        <v>3174</v>
      </c>
      <c r="I985" s="3">
        <v>100</v>
      </c>
      <c r="J985" s="3">
        <v>3</v>
      </c>
      <c r="K985" s="12">
        <v>652.28</v>
      </c>
      <c r="L985" s="9">
        <v>567.85</v>
      </c>
      <c r="M985" s="16">
        <f t="shared" si="75"/>
        <v>3.1505986137366097E-2</v>
      </c>
      <c r="N985" s="18">
        <f t="shared" si="76"/>
        <v>0.03</v>
      </c>
      <c r="O985" s="8">
        <f t="shared" si="77"/>
        <v>217.42666666666665</v>
      </c>
      <c r="P985" s="14">
        <f t="shared" si="78"/>
        <v>-84.42999999999995</v>
      </c>
      <c r="Q985" s="16">
        <f t="shared" si="79"/>
        <v>-0.12943827804010541</v>
      </c>
    </row>
    <row r="986" spans="1:17" x14ac:dyDescent="0.2">
      <c r="A986" s="2">
        <v>45746</v>
      </c>
      <c r="B986" s="3" t="s">
        <v>1038</v>
      </c>
      <c r="C986" s="3" t="s">
        <v>52</v>
      </c>
      <c r="D986" s="3" t="s">
        <v>24</v>
      </c>
      <c r="E986" s="3" t="s">
        <v>31</v>
      </c>
      <c r="F986" s="3" t="s">
        <v>16</v>
      </c>
      <c r="G986" s="3" t="s">
        <v>17</v>
      </c>
      <c r="H986" s="3">
        <v>1275</v>
      </c>
      <c r="I986" s="3">
        <v>172</v>
      </c>
      <c r="J986" s="3">
        <v>31</v>
      </c>
      <c r="K986" s="12">
        <v>32.14</v>
      </c>
      <c r="L986" s="9">
        <v>3988.63</v>
      </c>
      <c r="M986" s="16">
        <f t="shared" si="75"/>
        <v>0.13490196078431371</v>
      </c>
      <c r="N986" s="18">
        <f t="shared" si="76"/>
        <v>0.18023255813953487</v>
      </c>
      <c r="O986" s="8">
        <f t="shared" si="77"/>
        <v>1.0367741935483872</v>
      </c>
      <c r="P986" s="14">
        <f t="shared" si="78"/>
        <v>3956.4900000000002</v>
      </c>
      <c r="Q986" s="16">
        <f t="shared" si="79"/>
        <v>123.10174237710019</v>
      </c>
    </row>
    <row r="987" spans="1:17" x14ac:dyDescent="0.2">
      <c r="A987" s="2">
        <v>45746</v>
      </c>
      <c r="B987" s="3" t="s">
        <v>142</v>
      </c>
      <c r="C987" s="3" t="s">
        <v>49</v>
      </c>
      <c r="D987" s="3" t="s">
        <v>46</v>
      </c>
      <c r="E987" s="3" t="s">
        <v>20</v>
      </c>
      <c r="F987" s="3" t="s">
        <v>47</v>
      </c>
      <c r="G987" s="3" t="s">
        <v>21</v>
      </c>
      <c r="H987" s="3">
        <v>11414</v>
      </c>
      <c r="I987" s="3">
        <v>353</v>
      </c>
      <c r="J987" s="3">
        <v>9</v>
      </c>
      <c r="K987" s="12">
        <v>561.53</v>
      </c>
      <c r="L987" s="9">
        <v>823.25</v>
      </c>
      <c r="M987" s="16">
        <f t="shared" si="75"/>
        <v>3.0926931838093568E-2</v>
      </c>
      <c r="N987" s="18">
        <f t="shared" si="76"/>
        <v>2.5495750708215296E-2</v>
      </c>
      <c r="O987" s="8">
        <f t="shared" si="77"/>
        <v>62.392222222222216</v>
      </c>
      <c r="P987" s="14">
        <f t="shared" si="78"/>
        <v>261.72000000000003</v>
      </c>
      <c r="Q987" s="16">
        <f t="shared" si="79"/>
        <v>0.46608373550834337</v>
      </c>
    </row>
    <row r="988" spans="1:17" x14ac:dyDescent="0.2">
      <c r="A988" s="2">
        <v>45746</v>
      </c>
      <c r="B988" s="3" t="s">
        <v>103</v>
      </c>
      <c r="C988" s="3" t="s">
        <v>110</v>
      </c>
      <c r="D988" s="3" t="s">
        <v>24</v>
      </c>
      <c r="E988" s="3" t="s">
        <v>15</v>
      </c>
      <c r="F988" s="3" t="s">
        <v>29</v>
      </c>
      <c r="G988" s="3" t="s">
        <v>17</v>
      </c>
      <c r="H988" s="3">
        <v>4206</v>
      </c>
      <c r="I988" s="3">
        <v>358</v>
      </c>
      <c r="J988" s="3">
        <v>20</v>
      </c>
      <c r="K988" s="12">
        <v>167.82</v>
      </c>
      <c r="L988" s="9">
        <v>2546.9</v>
      </c>
      <c r="M988" s="16">
        <f t="shared" si="75"/>
        <v>8.5116500237755591E-2</v>
      </c>
      <c r="N988" s="18">
        <f t="shared" si="76"/>
        <v>5.5865921787709494E-2</v>
      </c>
      <c r="O988" s="8">
        <f t="shared" si="77"/>
        <v>8.391</v>
      </c>
      <c r="P988" s="14">
        <f t="shared" si="78"/>
        <v>2379.08</v>
      </c>
      <c r="Q988" s="16">
        <f t="shared" si="79"/>
        <v>14.176379454177095</v>
      </c>
    </row>
    <row r="989" spans="1:17" x14ac:dyDescent="0.2">
      <c r="A989" s="2">
        <v>45746</v>
      </c>
      <c r="B989" s="3" t="s">
        <v>268</v>
      </c>
      <c r="C989" s="3" t="s">
        <v>110</v>
      </c>
      <c r="D989" s="3" t="s">
        <v>24</v>
      </c>
      <c r="E989" s="3" t="s">
        <v>31</v>
      </c>
      <c r="F989" s="3" t="s">
        <v>50</v>
      </c>
      <c r="G989" s="3" t="s">
        <v>17</v>
      </c>
      <c r="H989" s="3">
        <v>2059</v>
      </c>
      <c r="I989" s="3">
        <v>366</v>
      </c>
      <c r="J989" s="3">
        <v>69</v>
      </c>
      <c r="K989" s="12">
        <v>104.97</v>
      </c>
      <c r="L989" s="9">
        <v>7196.79</v>
      </c>
      <c r="M989" s="16">
        <f t="shared" si="75"/>
        <v>0.17775619232637202</v>
      </c>
      <c r="N989" s="18">
        <f t="shared" si="76"/>
        <v>0.18852459016393441</v>
      </c>
      <c r="O989" s="8">
        <f t="shared" si="77"/>
        <v>1.521304347826087</v>
      </c>
      <c r="P989" s="14">
        <f t="shared" si="78"/>
        <v>7091.82</v>
      </c>
      <c r="Q989" s="16">
        <f t="shared" si="79"/>
        <v>67.560445841669051</v>
      </c>
    </row>
    <row r="990" spans="1:17" x14ac:dyDescent="0.2">
      <c r="A990" s="2">
        <v>45746</v>
      </c>
      <c r="B990" s="3" t="s">
        <v>1039</v>
      </c>
      <c r="C990" s="3" t="s">
        <v>23</v>
      </c>
      <c r="D990" s="3" t="s">
        <v>24</v>
      </c>
      <c r="E990" s="3" t="s">
        <v>20</v>
      </c>
      <c r="F990" s="3" t="s">
        <v>16</v>
      </c>
      <c r="G990" s="3" t="s">
        <v>25</v>
      </c>
      <c r="H990" s="3">
        <v>1159</v>
      </c>
      <c r="I990" s="3">
        <v>157</v>
      </c>
      <c r="J990" s="3">
        <v>22</v>
      </c>
      <c r="K990" s="12">
        <v>57.17</v>
      </c>
      <c r="L990" s="9">
        <v>2696.52</v>
      </c>
      <c r="M990" s="16">
        <f t="shared" si="75"/>
        <v>0.13546160483175151</v>
      </c>
      <c r="N990" s="18">
        <f t="shared" si="76"/>
        <v>0.14012738853503184</v>
      </c>
      <c r="O990" s="8">
        <f t="shared" si="77"/>
        <v>2.5986363636363636</v>
      </c>
      <c r="P990" s="14">
        <f t="shared" si="78"/>
        <v>2639.35</v>
      </c>
      <c r="Q990" s="16">
        <f t="shared" si="79"/>
        <v>46.166695819485739</v>
      </c>
    </row>
    <row r="991" spans="1:17" x14ac:dyDescent="0.2">
      <c r="A991" s="2">
        <v>45747</v>
      </c>
      <c r="B991" s="3" t="s">
        <v>60</v>
      </c>
      <c r="C991" s="3" t="s">
        <v>120</v>
      </c>
      <c r="D991" s="3" t="s">
        <v>14</v>
      </c>
      <c r="E991" s="3" t="s">
        <v>31</v>
      </c>
      <c r="F991" s="3" t="s">
        <v>29</v>
      </c>
      <c r="G991" s="3" t="s">
        <v>17</v>
      </c>
      <c r="H991" s="3">
        <v>10811</v>
      </c>
      <c r="I991" s="3">
        <v>559</v>
      </c>
      <c r="J991" s="3">
        <v>17</v>
      </c>
      <c r="K991" s="12">
        <v>1218.05</v>
      </c>
      <c r="L991" s="9">
        <v>1909.31</v>
      </c>
      <c r="M991" s="16">
        <f t="shared" si="75"/>
        <v>5.1706595134585143E-2</v>
      </c>
      <c r="N991" s="18">
        <f t="shared" si="76"/>
        <v>3.041144901610018E-2</v>
      </c>
      <c r="O991" s="8">
        <f t="shared" si="77"/>
        <v>71.649999999999991</v>
      </c>
      <c r="P991" s="14">
        <f t="shared" si="78"/>
        <v>691.26</v>
      </c>
      <c r="Q991" s="16">
        <f t="shared" si="79"/>
        <v>0.56751364886498912</v>
      </c>
    </row>
    <row r="992" spans="1:17" x14ac:dyDescent="0.2">
      <c r="A992" s="2">
        <v>45747</v>
      </c>
      <c r="B992" s="3" t="s">
        <v>457</v>
      </c>
      <c r="C992" s="3" t="s">
        <v>19</v>
      </c>
      <c r="D992" s="3" t="s">
        <v>14</v>
      </c>
      <c r="E992" s="3" t="s">
        <v>20</v>
      </c>
      <c r="F992" s="3" t="s">
        <v>29</v>
      </c>
      <c r="G992" s="3" t="s">
        <v>21</v>
      </c>
      <c r="H992" s="3">
        <v>6833</v>
      </c>
      <c r="I992" s="3">
        <v>278</v>
      </c>
      <c r="J992" s="3">
        <v>10</v>
      </c>
      <c r="K992" s="12">
        <v>615.33000000000004</v>
      </c>
      <c r="L992" s="9">
        <v>1146.3</v>
      </c>
      <c r="M992" s="16">
        <f t="shared" si="75"/>
        <v>4.0684911459095564E-2</v>
      </c>
      <c r="N992" s="18">
        <f t="shared" si="76"/>
        <v>3.5971223021582732E-2</v>
      </c>
      <c r="O992" s="8">
        <f t="shared" si="77"/>
        <v>61.533000000000001</v>
      </c>
      <c r="P992" s="14">
        <f t="shared" si="78"/>
        <v>530.96999999999991</v>
      </c>
      <c r="Q992" s="16">
        <f t="shared" si="79"/>
        <v>0.86290283262639544</v>
      </c>
    </row>
    <row r="993" spans="1:17" x14ac:dyDescent="0.2">
      <c r="A993" s="2">
        <v>45747</v>
      </c>
      <c r="B993" s="3" t="s">
        <v>1040</v>
      </c>
      <c r="C993" s="3" t="s">
        <v>19</v>
      </c>
      <c r="D993" s="3" t="s">
        <v>14</v>
      </c>
      <c r="E993" s="3" t="s">
        <v>20</v>
      </c>
      <c r="F993" s="3" t="s">
        <v>16</v>
      </c>
      <c r="G993" s="3" t="s">
        <v>17</v>
      </c>
      <c r="H993" s="3">
        <v>7573</v>
      </c>
      <c r="I993" s="3">
        <v>283</v>
      </c>
      <c r="J993" s="3">
        <v>8</v>
      </c>
      <c r="K993" s="12">
        <v>398.24</v>
      </c>
      <c r="L993" s="9">
        <v>505</v>
      </c>
      <c r="M993" s="16">
        <f t="shared" si="75"/>
        <v>3.7369602535322857E-2</v>
      </c>
      <c r="N993" s="18">
        <f t="shared" si="76"/>
        <v>2.8268551236749116E-2</v>
      </c>
      <c r="O993" s="8">
        <f t="shared" si="77"/>
        <v>49.78</v>
      </c>
      <c r="P993" s="14">
        <f t="shared" si="78"/>
        <v>106.75999999999999</v>
      </c>
      <c r="Q993" s="16">
        <f t="shared" si="79"/>
        <v>0.26807955002008838</v>
      </c>
    </row>
    <row r="994" spans="1:17" x14ac:dyDescent="0.2">
      <c r="A994" s="2">
        <v>45747</v>
      </c>
      <c r="B994" s="3" t="s">
        <v>1041</v>
      </c>
      <c r="C994" s="3" t="s">
        <v>41</v>
      </c>
      <c r="D994" s="3" t="s">
        <v>24</v>
      </c>
      <c r="E994" s="3" t="s">
        <v>20</v>
      </c>
      <c r="F994" s="3" t="s">
        <v>29</v>
      </c>
      <c r="G994" s="3" t="s">
        <v>17</v>
      </c>
      <c r="H994" s="3">
        <v>4567</v>
      </c>
      <c r="I994" s="3">
        <v>413</v>
      </c>
      <c r="J994" s="3">
        <v>49</v>
      </c>
      <c r="K994" s="12">
        <v>153.05000000000001</v>
      </c>
      <c r="L994" s="9">
        <v>6747.98</v>
      </c>
      <c r="M994" s="16">
        <f t="shared" si="75"/>
        <v>9.0431355375520037E-2</v>
      </c>
      <c r="N994" s="18">
        <f t="shared" si="76"/>
        <v>0.11864406779661017</v>
      </c>
      <c r="O994" s="8">
        <f t="shared" si="77"/>
        <v>3.1234693877551023</v>
      </c>
      <c r="P994" s="14">
        <f t="shared" si="78"/>
        <v>6594.9299999999994</v>
      </c>
      <c r="Q994" s="16">
        <f t="shared" si="79"/>
        <v>43.090035935968629</v>
      </c>
    </row>
    <row r="995" spans="1:17" x14ac:dyDescent="0.2">
      <c r="A995" s="2">
        <v>45747</v>
      </c>
      <c r="B995" s="3" t="s">
        <v>1042</v>
      </c>
      <c r="C995" s="3" t="s">
        <v>19</v>
      </c>
      <c r="D995" s="3" t="s">
        <v>14</v>
      </c>
      <c r="E995" s="3" t="s">
        <v>31</v>
      </c>
      <c r="F995" s="3" t="s">
        <v>34</v>
      </c>
      <c r="G995" s="3" t="s">
        <v>21</v>
      </c>
      <c r="H995" s="3">
        <v>11418</v>
      </c>
      <c r="I995" s="3">
        <v>611</v>
      </c>
      <c r="J995" s="3">
        <v>46</v>
      </c>
      <c r="K995" s="12">
        <v>0</v>
      </c>
      <c r="L995" s="9">
        <v>5723.23</v>
      </c>
      <c r="M995" s="16">
        <f t="shared" si="75"/>
        <v>5.35119985987038E-2</v>
      </c>
      <c r="N995" s="18">
        <f t="shared" si="76"/>
        <v>7.5286415711947621E-2</v>
      </c>
      <c r="O995" s="8">
        <f t="shared" si="77"/>
        <v>0</v>
      </c>
      <c r="P995" s="14">
        <f t="shared" si="78"/>
        <v>5723.23</v>
      </c>
      <c r="Q995" s="16">
        <f t="shared" si="79"/>
        <v>0</v>
      </c>
    </row>
    <row r="996" spans="1:17" x14ac:dyDescent="0.2">
      <c r="A996" s="2">
        <v>45747</v>
      </c>
      <c r="B996" s="3" t="s">
        <v>127</v>
      </c>
      <c r="C996" s="3" t="s">
        <v>58</v>
      </c>
      <c r="D996" s="3" t="s">
        <v>37</v>
      </c>
      <c r="E996" s="3" t="s">
        <v>20</v>
      </c>
      <c r="F996" s="3" t="s">
        <v>47</v>
      </c>
      <c r="G996" s="3" t="s">
        <v>17</v>
      </c>
      <c r="H996" s="3">
        <v>6587</v>
      </c>
      <c r="I996" s="3">
        <v>272</v>
      </c>
      <c r="J996" s="3">
        <v>4</v>
      </c>
      <c r="K996" s="12">
        <v>1159.6099999999999</v>
      </c>
      <c r="L996" s="9">
        <v>770.98</v>
      </c>
      <c r="M996" s="16">
        <f t="shared" si="75"/>
        <v>4.1293456808865946E-2</v>
      </c>
      <c r="N996" s="18">
        <f t="shared" si="76"/>
        <v>1.4705882352941176E-2</v>
      </c>
      <c r="O996" s="8">
        <f t="shared" si="77"/>
        <v>289.90249999999997</v>
      </c>
      <c r="P996" s="14">
        <f t="shared" si="78"/>
        <v>-388.62999999999988</v>
      </c>
      <c r="Q996" s="16">
        <f t="shared" si="79"/>
        <v>-0.33513853795672677</v>
      </c>
    </row>
    <row r="997" spans="1:17" x14ac:dyDescent="0.2">
      <c r="A997" s="2">
        <v>45747</v>
      </c>
      <c r="B997" s="3" t="s">
        <v>1043</v>
      </c>
      <c r="C997" s="3" t="s">
        <v>97</v>
      </c>
      <c r="D997" s="3" t="s">
        <v>46</v>
      </c>
      <c r="E997" s="3" t="s">
        <v>31</v>
      </c>
      <c r="F997" s="3" t="s">
        <v>16</v>
      </c>
      <c r="G997" s="3" t="s">
        <v>17</v>
      </c>
      <c r="H997" s="3">
        <v>12676</v>
      </c>
      <c r="I997" s="3">
        <v>383</v>
      </c>
      <c r="J997" s="3">
        <v>18</v>
      </c>
      <c r="K997" s="12">
        <v>472.64</v>
      </c>
      <c r="L997" s="9">
        <v>1149.23</v>
      </c>
      <c r="M997" s="16">
        <f t="shared" si="75"/>
        <v>3.021457873146103E-2</v>
      </c>
      <c r="N997" s="18">
        <f t="shared" si="76"/>
        <v>4.6997389033942558E-2</v>
      </c>
      <c r="O997" s="8">
        <f t="shared" si="77"/>
        <v>26.257777777777775</v>
      </c>
      <c r="P997" s="14">
        <f t="shared" si="78"/>
        <v>676.59</v>
      </c>
      <c r="Q997" s="16">
        <f t="shared" si="79"/>
        <v>1.4315123561272851</v>
      </c>
    </row>
    <row r="998" spans="1:17" x14ac:dyDescent="0.2">
      <c r="A998" s="2">
        <v>45747</v>
      </c>
      <c r="B998" s="3" t="s">
        <v>1044</v>
      </c>
      <c r="C998" s="3" t="s">
        <v>39</v>
      </c>
      <c r="D998" s="3" t="s">
        <v>28</v>
      </c>
      <c r="E998" s="3" t="s">
        <v>31</v>
      </c>
      <c r="F998" s="3" t="s">
        <v>16</v>
      </c>
      <c r="G998" s="3" t="s">
        <v>17</v>
      </c>
      <c r="H998" s="3">
        <v>31270</v>
      </c>
      <c r="I998" s="3">
        <v>880</v>
      </c>
      <c r="J998" s="3">
        <v>11</v>
      </c>
      <c r="K998" s="12">
        <v>675.87</v>
      </c>
      <c r="L998" s="9">
        <v>613.48</v>
      </c>
      <c r="M998" s="16">
        <f t="shared" si="75"/>
        <v>2.8141989126958745E-2</v>
      </c>
      <c r="N998" s="18">
        <f t="shared" si="76"/>
        <v>1.2500000000000001E-2</v>
      </c>
      <c r="O998" s="8">
        <f t="shared" si="77"/>
        <v>61.442727272727275</v>
      </c>
      <c r="P998" s="14">
        <f t="shared" si="78"/>
        <v>-62.389999999999986</v>
      </c>
      <c r="Q998" s="16">
        <f t="shared" si="79"/>
        <v>-9.2310651456641052E-2</v>
      </c>
    </row>
    <row r="999" spans="1:17" x14ac:dyDescent="0.2">
      <c r="A999" s="2">
        <v>45747</v>
      </c>
      <c r="B999" s="3" t="s">
        <v>1045</v>
      </c>
      <c r="C999" s="3" t="s">
        <v>36</v>
      </c>
      <c r="D999" s="3" t="s">
        <v>37</v>
      </c>
      <c r="E999" s="3" t="s">
        <v>20</v>
      </c>
      <c r="F999" s="3" t="s">
        <v>34</v>
      </c>
      <c r="G999" s="3" t="s">
        <v>17</v>
      </c>
      <c r="H999" s="3">
        <v>3213</v>
      </c>
      <c r="I999" s="3">
        <v>96</v>
      </c>
      <c r="J999" s="3">
        <v>1</v>
      </c>
      <c r="K999" s="12">
        <v>640.23</v>
      </c>
      <c r="L999" s="9">
        <v>103.72</v>
      </c>
      <c r="M999" s="16">
        <f t="shared" si="75"/>
        <v>2.9878618113912233E-2</v>
      </c>
      <c r="N999" s="18">
        <f t="shared" si="76"/>
        <v>1.0416666666666666E-2</v>
      </c>
      <c r="O999" s="8">
        <f t="shared" si="77"/>
        <v>640.23</v>
      </c>
      <c r="P999" s="14">
        <f t="shared" si="78"/>
        <v>-536.51</v>
      </c>
      <c r="Q999" s="16">
        <f t="shared" si="79"/>
        <v>-0.8379957202880215</v>
      </c>
    </row>
    <row r="1000" spans="1:17" x14ac:dyDescent="0.2">
      <c r="A1000" s="2">
        <v>45747</v>
      </c>
      <c r="B1000" s="3" t="s">
        <v>1046</v>
      </c>
      <c r="C1000" s="3" t="s">
        <v>39</v>
      </c>
      <c r="D1000" s="3" t="s">
        <v>28</v>
      </c>
      <c r="E1000" s="3" t="s">
        <v>20</v>
      </c>
      <c r="F1000" s="3" t="s">
        <v>34</v>
      </c>
      <c r="G1000" s="3" t="s">
        <v>17</v>
      </c>
      <c r="H1000" s="3">
        <v>18910</v>
      </c>
      <c r="I1000" s="3">
        <v>633</v>
      </c>
      <c r="J1000" s="3">
        <v>11</v>
      </c>
      <c r="K1000" s="12">
        <v>857.1</v>
      </c>
      <c r="L1000" s="9">
        <v>498.49</v>
      </c>
      <c r="M1000" s="16">
        <f t="shared" si="75"/>
        <v>3.3474352194606032E-2</v>
      </c>
      <c r="N1000" s="18">
        <f t="shared" si="76"/>
        <v>1.7377567140600316E-2</v>
      </c>
      <c r="O1000" s="8">
        <f t="shared" si="77"/>
        <v>77.918181818181822</v>
      </c>
      <c r="P1000" s="14">
        <f t="shared" si="78"/>
        <v>-358.61</v>
      </c>
      <c r="Q1000" s="16">
        <f t="shared" si="79"/>
        <v>-0.41839925329599814</v>
      </c>
    </row>
    <row r="1001" spans="1:17" x14ac:dyDescent="0.2">
      <c r="A1001" s="2">
        <v>45747</v>
      </c>
      <c r="B1001" s="3" t="s">
        <v>1047</v>
      </c>
      <c r="C1001" s="3" t="s">
        <v>36</v>
      </c>
      <c r="D1001" s="3" t="s">
        <v>37</v>
      </c>
      <c r="E1001" s="3" t="s">
        <v>20</v>
      </c>
      <c r="F1001" s="3" t="s">
        <v>34</v>
      </c>
      <c r="G1001" s="3" t="s">
        <v>17</v>
      </c>
      <c r="H1001" s="3">
        <v>4754</v>
      </c>
      <c r="I1001" s="3">
        <v>210</v>
      </c>
      <c r="J1001" s="3">
        <v>3</v>
      </c>
      <c r="K1001" s="12">
        <v>1199.52</v>
      </c>
      <c r="L1001" s="9">
        <v>327.02</v>
      </c>
      <c r="M1001" s="16">
        <f t="shared" si="75"/>
        <v>4.4173327724021876E-2</v>
      </c>
      <c r="N1001" s="18">
        <f t="shared" si="76"/>
        <v>1.4285714285714285E-2</v>
      </c>
      <c r="O1001" s="8">
        <f t="shared" si="77"/>
        <v>399.84</v>
      </c>
      <c r="P1001" s="14">
        <f t="shared" si="78"/>
        <v>-872.5</v>
      </c>
      <c r="Q1001" s="16">
        <f t="shared" si="79"/>
        <v>-0.72737428304655194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- total revenue</vt:lpstr>
      <vt:lpstr>Pivot - average ROI</vt:lpstr>
      <vt:lpstr>Pivot - CPA </vt:lpstr>
      <vt:lpstr>Pivot - Profitable Region</vt:lpstr>
      <vt:lpstr>Pivot - Marketing</vt:lpstr>
      <vt:lpstr>Pivot - Campaigns by Profit</vt:lpstr>
      <vt:lpstr>Pivot - Negative ROI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Pritaam Some</dc:creator>
  <cp:lastModifiedBy>feranmi timilehin</cp:lastModifiedBy>
  <dcterms:created xsi:type="dcterms:W3CDTF">2026-02-15T23:10:29Z</dcterms:created>
  <dcterms:modified xsi:type="dcterms:W3CDTF">2026-03-08T22:23:05Z</dcterms:modified>
</cp:coreProperties>
</file>